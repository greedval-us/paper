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3.xml" ContentType="application/vnd.openxmlformats-officedocument.spreadsheetml.worksheet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b526c2fbe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ханики" sheetId="1" r:id="R514f218f539a498d"/>
    <x:sheet xmlns:r="http://schemas.openxmlformats.org/officeDocument/2006/relationships" name="Расчеты" sheetId="2" r:id="R52e2009d27894446"/>
    <x:sheet xmlns:r="http://schemas.openxmlformats.org/officeDocument/2006/relationships" name="Оружие" sheetId="3" r:id="R285ba3f64af84fd4"/>
    <x:sheet xmlns:r="http://schemas.openxmlformats.org/officeDocument/2006/relationships" name="Детали" sheetId="4" r:id="R0a3c05579c9441a4"/>
    <x:sheet xmlns:r="http://schemas.openxmlformats.org/officeDocument/2006/relationships" name="Материалы и враги" sheetId="5" r:id="Rbdcc7dc5c3784939"/>
    <x:sheet xmlns:r="http://schemas.openxmlformats.org/officeDocument/2006/relationships" name="Волны" sheetId="6" r:id="Re69d334da62c4cae"/>
    <x:sheet xmlns:r="http://schemas.openxmlformats.org/officeDocument/2006/relationships" name="Параметры" sheetId="7" r:id="Re5bb9332d230486e"/>
    <x:sheet xmlns:r="http://schemas.openxmlformats.org/officeDocument/2006/relationships" name="Источники" sheetId="8" r:id="Rf7b2fc0f29f7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%"/>
    <x:numFmt numFmtId="203" formatCode="0.0000"/>
    <x:numFmt numFmtId="204" formatCode="yyyy-mm-dd hh:mm:ss.000"/>
  </x:numFmts>
  <x:fonts count="5">
    <x:font>
      <x:sz val="11"/>
      <x:name val="Carlito"/>
    </x:font>
    <x:font>
      <x:sz val="10"/>
      <x:color rgb="FF253348"/>
      <x:name val="Arial"/>
    </x:font>
    <x:font>
      <x:b/>
      <x:sz val="14"/>
      <x:color rgb="FF253348"/>
      <x:name val="Arial"/>
    </x:font>
    <x:font>
      <x:i/>
      <x:sz val="10"/>
      <x:color rgb="FF60718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348"/>
      </x:patternFill>
    </x:fill>
    <x:fill>
      <x:patternFill patternType="solid">
        <x:fgColor rgb="FFE9F0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91">
    <x:dxf>
      <x:font>
        <x:color rgb="FF9F2323"/>
      </x:font>
      <x:fill>
        <x:patternFill patternType="solid">
          <x:bgColor rgb="FFFCE7E7"/>
        </x:patternFill>
      </x:fill>
    </x:dxf>
    <x:dxf>
      <x:font>
        <x:color rgb="FF9F2323"/>
      </x:font>
      <x:fill>
        <x:patternFill patternType="solid">
          <x:bgColor rgb="FFFCE7E7"/>
        </x:patternFill>
      </x:fill>
    </x:dxf>
    <x:dxf>
      <x:font>
        <x:color rgb="FF9F2323"/>
      </x:font>
      <x:fill>
        <x:patternFill patternType="solid">
          <x:bgColor rgb="FFFCE7E7"/>
        </x:patternFill>
      </x:fill>
    </x:dxf>
    <x:dxf>
      <x:font>
        <x:color rgb="FF9F2323"/>
      </x:font>
      <x:fill>
        <x:patternFill patternType="solid">
          <x:bgColor rgb="FFFCE7E7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546a64dde42c6" /><Relationship Type="http://schemas.openxmlformats.org/officeDocument/2006/relationships/theme" Target="/xl/theme/theme1.xml" Id="R8836c84f300d4aea" /><Relationship Type="http://schemas.microsoft.com/office/2022/11/relationships/FeaturePropertyBag" Target="/xl/featurePropertyBag/featurePropertyBag.xml" Id="Re05737274cb84511" /><Relationship Type="http://schemas.openxmlformats.org/officeDocument/2006/relationships/sharedStrings" Target="/xl/sharedStrings.xml" Id="Ra74f6286a119418e" /><Relationship Type="http://schemas.openxmlformats.org/officeDocument/2006/relationships/worksheet" Target="/xl/worksheets/sheet1.xml" Id="R514f218f539a498d" /><Relationship Type="http://schemas.openxmlformats.org/officeDocument/2006/relationships/worksheet" Target="/xl/worksheets/sheet2.xml" Id="R52e2009d27894446" /><Relationship Type="http://schemas.openxmlformats.org/officeDocument/2006/relationships/worksheet" Target="/xl/worksheets/sheet3.xml" Id="R285ba3f64af84fd4" /><Relationship Type="http://schemas.openxmlformats.org/officeDocument/2006/relationships/worksheet" Target="/xl/worksheets/sheet4.xml" Id="R0a3c05579c9441a4" /><Relationship Type="http://schemas.openxmlformats.org/officeDocument/2006/relationships/worksheet" Target="/xl/worksheets/sheet5.xml" Id="Rbdcc7dc5c3784939" /><Relationship Type="http://schemas.openxmlformats.org/officeDocument/2006/relationships/worksheet" Target="/xl/worksheets/sheet6.xml" Id="Re69d334da62c4cae" /><Relationship Type="http://schemas.openxmlformats.org/officeDocument/2006/relationships/worksheet" Target="/xl/worksheets/sheet7.xml" Id="Re5bb9332d230486e" /><Relationship Type="http://schemas.openxmlformats.org/officeDocument/2006/relationships/worksheet" Target="/xl/worksheets/sheet8.xml" Id="Rf7b2fc0f29f743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lanceTable1" displayName="BalanceTable1" ref="A6:G13" headerRowCount="1" totalsRowCount="0" totalsRowShown="0">
  <x:autoFilter ref="A6:G13"/>
  <x:tableColumns count="7">
    <x:tableColumn id="1" name="Механика"/>
    <x:tableColumn id="2" name="Владелец"/>
    <x:tableColumn id="3" name="Граница"/>
    <x:tableColumn id="4" name="Поведение при отключении"/>
    <x:tableColumn id="5" name="Notebook"/>
    <x:tableColumn id="6" name="Target"/>
    <x:tableColumn id="7" name="Связ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lanceTable2" displayName="BalanceTable2" ref="A18:C22" headerRowCount="1" totalsRowCount="0" totalsRowShown="0">
  <x:autoFilter ref="A18:C22"/>
  <x:tableColumns count="3">
    <x:tableColumn id="1" name="Слой"/>
    <x:tableColumn id="2" name="Ответственность"/>
    <x:tableColumn id="3" name="Данные / контрак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lanceTable3" displayName="BalanceTable3" ref="A6:J12" headerRowCount="1" totalsRowCount="0" totalsRowShown="0">
  <x:autoFilter ref="A6:J12"/>
  <x:tableColumns count="10">
    <x:tableColumn id="1" name="Пресет"/>
    <x:tableColumn id="2" name="Материал"/>
    <x:tableColumn id="3" name="Основание"/>
    <x:tableColumn id="4" name="Оружие"/>
    <x:tableColumn id="5" name="Кредит"/>
    <x:tableColumn id="6" name="Броня"/>
    <x:tableColumn id="7" name="Цена мат. ×"/>
    <x:tableColumn id="8" name="Цена Excel"/>
    <x:tableColumn id="9" name="Цена Core"/>
    <x:tableColumn id="10" name="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lanceTable4" displayName="BalanceTable4" ref="A16:J22" headerRowCount="1" totalsRowCount="0" totalsRowShown="0">
  <x:autoFilter ref="A16:J22"/>
  <x:tableColumns count="10">
    <x:tableColumn id="1" name="Пресет"/>
    <x:tableColumn id="2" name="Материал"/>
    <x:tableColumn id="3" name="Основание HP"/>
    <x:tableColumn id="4" name="Броня ×"/>
    <x:tableColumn id="5" name="Материал HP ×"/>
    <x:tableColumn id="6" name="HP Excel"/>
    <x:tableColumn id="7" name="HP Core"/>
    <x:tableColumn id="8" name="Δ HP"/>
    <x:tableColumn id="9" name="Защита"/>
    <x:tableColumn id="10" name="Эфф. H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Table5" displayName="BalanceTable5" ref="A26:I32" headerRowCount="1" totalsRowCount="0" totalsRowShown="0">
  <x:autoFilter ref="A26:I32"/>
  <x:tableColumns count="9">
    <x:tableColumn id="1" name="Пресет"/>
    <x:tableColumn id="2" name="Материал"/>
    <x:tableColumn id="3" name="Урон оружия"/>
    <x:tableColumn id="4" name="Мат. урон ×"/>
    <x:tableColumn id="5" name="Урон Excel"/>
    <x:tableColumn id="6" name="Урон Core"/>
    <x:tableColumn id="7" name="Δ урон"/>
    <x:tableColumn id="8" name="Интервал, с"/>
    <x:tableColumn id="9" name="DPS одной цел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lanceTable6" displayName="BalanceTable6" ref="A36:F42" headerRowCount="1" totalsRowCount="0" totalsRowShown="0">
  <x:autoFilter ref="A36:F42"/>
  <x:tableColumns count="6">
    <x:tableColumn id="1" name="Пресет"/>
    <x:tableColumn id="2" name="Материал"/>
    <x:tableColumn id="3" name="Оплачено"/>
    <x:tableColumn id="4" name="Доля возврата"/>
    <x:tableColumn id="5" name="Предел"/>
    <x:tableColumn id="6" name="Возврат Exce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lanceTable7" displayName="BalanceTable7" ref="A46:J50" headerRowCount="1" totalsRowCount="0" totalsRowShown="0">
  <x:autoFilter ref="A46:J50"/>
  <x:tableColumns count="10">
    <x:tableColumn id="1" name="Пресет"/>
    <x:tableColumn id="2" name="Радиус"/>
    <x:tableColumn id="3" name="Пропорция q"/>
    <x:tableColumn id="4" name="Вдоль Excel"/>
    <x:tableColumn id="5" name="Вдоль Core"/>
    <x:tableColumn id="6" name="Поперёк Excel"/>
    <x:tableColumn id="7" name="Поперёк Core"/>
    <x:tableColumn id="8" name="Площадь овала"/>
    <x:tableColumn id="9" name="Площадь круга"/>
    <x:tableColumn id="10" name="Δ площади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alanceTable8" displayName="BalanceTable8" ref="A6:J24" headerRowCount="1" totalsRowCount="0" totalsRowShown="0">
  <x:autoFilter ref="A6:J24"/>
  <x:tableColumns count="10">
    <x:tableColumn id="1" name="Пресет"/>
    <x:tableColumn id="2" name="Вид"/>
    <x:tableColumn id="3" name="Цена"/>
    <x:tableColumn id="4" name="HP"/>
    <x:tableColumn id="5" name="Стройка, с"/>
    <x:tableColumn id="6" name="Дальность"/>
    <x:tableColumn id="7" name="Урон"/>
    <x:tableColumn id="8" name="Интервал, с"/>
    <x:tableColumn id="9" name="DPS одной цели"/>
    <x:tableColumn id="10" name="Действ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alanceTable9" displayName="BalanceTable9" ref="A6:H32" headerRowCount="1" totalsRowCount="0" totalsRowShown="0">
  <x:autoFilter ref="A6:H32"/>
  <x:tableColumns count="8">
    <x:tableColumn id="1" name="Пресет"/>
    <x:tableColumn id="2" name="Деталь"/>
    <x:tableColumn id="3" name="Устойчивый ID"/>
    <x:tableColumn id="4" name="Тип"/>
    <x:tableColumn id="5" name="Открыта сразу"/>
    <x:tableColumn id="6" name="Золото"/>
    <x:tableColumn id="7" name="Крепление"/>
    <x:tableColumn id="8" name="Описание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alanceTable10" displayName="BalanceTable10" ref="A6:G12" headerRowCount="1" totalsRowCount="0" totalsRowShown="0">
  <x:autoFilter ref="A6:G12"/>
  <x:tableColumns count="7">
    <x:tableColumn id="1" name="Пресет"/>
    <x:tableColumn id="2" name="Материал"/>
    <x:tableColumn id="3" name="Цена ×"/>
    <x:tableColumn id="4" name="HP ×"/>
    <x:tableColumn id="5" name="Урон ×"/>
    <x:tableColumn id="6" name="Возврат"/>
    <x:tableColumn id="7" name="Время ×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alanceTable11" displayName="BalanceTable11" ref="A16:I24" headerRowCount="1" totalsRowCount="0" totalsRowShown="0">
  <x:autoFilter ref="A16:I24"/>
  <x:tableColumns count="9">
    <x:tableColumn id="1" name="Пресет"/>
    <x:tableColumn id="2" name="Враг"/>
    <x:tableColumn id="3" name="HP"/>
    <x:tableColumn id="4" name="Клетки/с"/>
    <x:tableColumn id="5" name="Урон"/>
    <x:tableColumn id="6" name="Интервал, с"/>
    <x:tableColumn id="7" name="Награда"/>
    <x:tableColumn id="8" name="Строения ×"/>
    <x:tableColumn id="9" name="Дальность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alanceTable12" displayName="BalanceTable12" ref="A6:L22" headerRowCount="1" totalsRowCount="0" totalsRowShown="0">
  <x:autoFilter ref="A6:L22"/>
  <x:tableColumns count="12">
    <x:tableColumn id="1" name="Пресет"/>
    <x:tableColumn id="2" name="Волна"/>
    <x:tableColumn id="3" name="Врагов"/>
    <x:tableColumn id="4" name="Интервал, с"/>
    <x:tableColumn id="5" name="Бегуны"/>
    <x:tableColumn id="6" name="Грызуны"/>
    <x:tableColumn id="7" name="Плевуны"/>
    <x:tableColumn id="8" name="Обведённые"/>
    <x:tableColumn id="9" name="Штрихованные"/>
    <x:tableColumn id="10" name="Штрихи за волну"/>
    <x:tableColumn id="11" name="Штрихи накопл."/>
    <x:tableColumn id="12" name="Название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alanceTable13" displayName="BalanceTable13" ref="A6:E393" headerRowCount="1" totalsRowCount="0" totalsRowShown="0">
  <x:autoFilter ref="A6:E393"/>
  <x:tableColumns count="5">
    <x:tableColumn id="1" name="Параметр"/>
    <x:tableColumn id="2" name="Единица"/>
    <x:tableColumn id="3" name="Notebook"/>
    <x:tableColumn id="4" name="Target"/>
    <x:tableColumn id="5" name="Тип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alanceTable14" displayName="BalanceTable14" ref="A5:C20" headerRowCount="1" totalsRowCount="0" totalsRowShown="0">
  <x:autoFilter ref="A5:C20"/>
  <x:tableColumns count="3">
    <x:tableColumn id="1" name="Запись"/>
    <x:tableColumn id="2" name="Значение"/>
    <x:tableColumn id="3" name="Fingerprint / примечание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alanceTable15" displayName="BalanceTable15" ref="A24:B73" headerRowCount="1" totalsRowCount="0" totalsRowShown="0">
  <x:autoFilter ref="A24:B73"/>
  <x:tableColumns count="2">
    <x:tableColumn id="1" name="Источник"/>
    <x:tableColumn id="2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71fd1f9b6a4a72" /><Relationship Type="http://schemas.openxmlformats.org/officeDocument/2006/relationships/table" Target="/xl/tables/table2.xml" Id="R1f31d6aa32c74f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978b37dbca7444d9" /><Relationship Type="http://schemas.openxmlformats.org/officeDocument/2006/relationships/table" Target="/xl/tables/table4.xml" Id="R63f37e4ef4f14694" /><Relationship Type="http://schemas.openxmlformats.org/officeDocument/2006/relationships/table" Target="/xl/tables/table5.xml" Id="R3197d0b3e98048be" /><Relationship Type="http://schemas.openxmlformats.org/officeDocument/2006/relationships/table" Target="/xl/tables/table6.xml" Id="R806b3133b4094cb1" /><Relationship Type="http://schemas.openxmlformats.org/officeDocument/2006/relationships/table" Target="/xl/tables/table7.xml" Id="Rf7f5c22271ef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8.xml" Id="R013672b8e7df4a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9.xml" Id="R2bab37a4c5614c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bb7854243f974c48" /><Relationship Type="http://schemas.openxmlformats.org/officeDocument/2006/relationships/table" Target="/xl/tables/table11.xml" Id="Ree1a4459fb4c4d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2.xml" Id="Reed1899447f949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3.xml" Id="R45da59fb03d14c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4.xml" Id="R3b406a12a71d428d" /><Relationship Type="http://schemas.openxmlformats.org/officeDocument/2006/relationships/table" Target="/xl/tables/table15.xml" Id="R2efc3b58f1884459" /></Relationships>
</file>

<file path=xl/worksheets/sheet1.xml><?xml version="1.0" encoding="utf-8"?>
<x:worksheet xmlns:x="http://schemas.openxmlformats.org/spreadsheetml/2006/main">
  <x:sheetPr>
    <x:tabColor rgb="FF253348"/>
  </x:sheetPr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31" hidden="0" customWidth="1"/>
    <x:col min="4" max="4" width="63" hidden="0" customWidth="1"/>
    <x:col min="5" max="5" width="13" hidden="0" customWidth="1"/>
    <x:col min="6" max="6" width="13" hidden="0" customWidth="1"/>
    <x:col min="7" max="7" width="3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ДЕРЖИ ЛИНИЮ. Механики и границы</x:v>
      </x:c>
      <x:c r="B2" s="1"/>
      <x:c r="C2" s="1"/>
      <x:c r="D2" s="1"/>
      <x:c r="E2" s="1"/>
      <x:c r="F2" s="1"/>
      <x:c r="G2" s="1"/>
    </x:row>
    <x:row r="3">
      <x:c r="A3" s="3"/>
      <x:c r="B3" s="3"/>
      <x:c r="C3" s="3"/>
      <x:c r="D3" s="3"/>
      <x:c r="E3" s="3"/>
      <x:c r="F3" s="3"/>
      <x:c r="G3" s="3"/>
    </x:row>
    <x:row r="4" ht="22" customHeight="1">
      <x:c r="A4" s="4" t="str">
        <x:v>Переключатели задаёт разработчик до старта партии. В интерфейсе игрока выбора механик нет.</x:v>
      </x:c>
      <x:c r="B4" s="4"/>
      <x:c r="C4" s="4"/>
      <x:c r="D4" s="4"/>
      <x:c r="E4" s="4"/>
      <x:c r="F4" s="4"/>
      <x:c r="G4" s="4"/>
    </x:row>
    <x:row r="6" ht="40" customHeight="1">
      <x:c r="A6" s="9" t="str">
        <x:v>Механика</x:v>
      </x:c>
      <x:c r="B6" s="9" t="str">
        <x:v>Владелец</x:v>
      </x:c>
      <x:c r="C6" s="9" t="str">
        <x:v>Граница</x:v>
      </x:c>
      <x:c r="D6" s="9" t="str">
        <x:v>Поведение при отключении</x:v>
      </x:c>
      <x:c r="E6" s="9" t="str">
        <x:v>Notebook</x:v>
      </x:c>
      <x:c r="F6" s="9" t="str">
        <x:v>Target</x:v>
      </x:c>
      <x:c r="G6" s="9" t="str">
        <x:v>Связь</x:v>
      </x:c>
    </x:row>
    <x:row r="7" ht="66" customHeight="1">
      <x:c r="A7" s="6" t="str">
        <x:v>Прорисовка врагов</x:v>
      </x:c>
      <x:c r="B7" s="6" t="str">
        <x:v>Core.EnemyEffects</x:v>
      </x:c>
      <x:c r="C7" s="6" t="str">
        <x:v>Спавн и защита врага</x:v>
      </x:c>
      <x:c r="D7" s="6" t="str">
        <x:v>Обычный эскиз. Нет добавки HP и защиты от прорисовки.</x:v>
      </x:c>
      <x:c r="E7" s="6" t="str">
        <x:v>Вкл.</x:v>
      </x:c>
      <x:c r="F7" s="6" t="str">
        <x:v>Вкл.</x:v>
      </x:c>
      <x:c r="G7" s="6" t="str">
        <x:v>Legacy enemyMechanics</x:v>
      </x:c>
    </x:row>
    <x:row r="8" ht="66" customHeight="1">
      <x:c r="A8" s="6" t="str">
        <x:v>Кляксы и очистка</x:v>
      </x:c>
      <x:c r="B8" s="6" t="str">
        <x:v>CorpseBlotSystem / IBlotContext</x:v>
      </x:c>
      <x:c r="C8" s="6" t="str">
        <x:v>Смерть врага, область очистки</x:v>
      </x:c>
      <x:c r="D8" s="6" t="str">
        <x:v>Трупы не создают кляксы. Ручная очистка недоступна. Автоматическая промокашка простаивает.</x:v>
      </x:c>
      <x:c r="E8" s="6" t="str">
        <x:v>Вкл.</x:v>
      </x:c>
      <x:c r="F8" s="6" t="str">
        <x:v>Вкл.</x:v>
      </x:c>
      <x:c r="G8" s="6" t="str">
        <x:v>Legacy enemyMechanics</x:v>
      </x:c>
    </x:row>
    <x:row r="9" ht="66" customHeight="1">
      <x:c r="A9" s="6" t="str">
        <x:v>Дальний бой врагов</x:v>
      </x:c>
      <x:c r="B9" s="6" t="str">
        <x:v>GameSession.Enemies</x:v>
      </x:c>
      <x:c r="C9" s="6" t="str">
        <x:v>Спавн плевунов и сгустки</x:v>
      </x:c>
      <x:c r="D9" s="6" t="str">
        <x:v>Доля плевунов переходит обычным каракулям. Сгустки не создаются.</x:v>
      </x:c>
      <x:c r="E9" s="6" t="str">
        <x:v>Вкл.</x:v>
      </x:c>
      <x:c r="F9" s="6" t="str">
        <x:v>Вкл.</x:v>
      </x:c>
      <x:c r="G9" s="6" t="str">
        <x:v>Legacy enemyMechanics</x:v>
      </x:c>
    </x:row>
    <x:row r="10" ht="66" customHeight="1">
      <x:c r="A10" s="6" t="str">
        <x:v>Чернильницы</x:v>
      </x:c>
      <x:c r="B10" s="6" t="str">
        <x:v>GameSession.Objectives</x:v>
      </x:c>
      <x:c r="C10" s="6" t="str">
        <x:v>Активация, цель, выплата цвета</x:v>
      </x:c>
      <x:c r="D10" s="6" t="str">
        <x:v>Точек и их выплат нет. Все враги идут к базе.</x:v>
      </x:c>
      <x:c r="E10" s="6" t="str">
        <x:v>Вкл.</x:v>
      </x:c>
      <x:c r="F10" s="6" t="str">
        <x:v>Вкл.</x:v>
      </x:c>
      <x:c r="G10" s="6" t="str">
        <x:v>Legacy inkWells</x:v>
      </x:c>
    </x:row>
    <x:row r="11" ht="66" customHeight="1">
      <x:c r="A11" s="6" t="str">
        <x:v>Цветные картриджи</x:v>
      </x:c>
      <x:c r="B11" s="6" t="str">
        <x:v>ColorEffectPayload</x:v>
      </x:c>
      <x:c r="C11" s="6" t="str">
        <x:v>Окраска и эффект попадания</x:v>
      </x:c>
      <x:c r="D11" s="6" t="str">
        <x:v>Цвет нельзя купить или применить. Оружие сохраняет обычный урон и собственный эффект степлера.</x:v>
      </x:c>
      <x:c r="E11" s="6" t="str">
        <x:v>Вкл.</x:v>
      </x:c>
      <x:c r="F11" s="6" t="str">
        <x:v>Вкл.</x:v>
      </x:c>
      <x:c r="G11" s="6" t="str">
        <x:v>Независима от чернильниц</x:v>
      </x:c>
    </x:row>
    <x:row r="12" ht="66" customHeight="1">
      <x:c r="A12" s="6" t="str">
        <x:v>Улучшения партии</x:v>
      </x:c>
      <x:c r="B12" s="6" t="str">
        <x:v>GameSession.Progression</x:v>
      </x:c>
      <x:c r="C12" s="6" t="str">
        <x:v>Выбор после волны</x:v>
      </x:c>
      <x:c r="D12" s="6" t="str">
        <x:v>Нет ожидания выбора. Между волнами игра продолжается.</x:v>
      </x:c>
      <x:c r="E12" s="6" t="str">
        <x:v>Вкл.</x:v>
      </x:c>
      <x:c r="F12" s="6" t="str">
        <x:v>Вкл.</x:v>
      </x:c>
      <x:c r="G12" s="6" t="str">
        <x:v>Независима от экономики</x:v>
      </x:c>
    </x:row>
    <x:row r="13" ht="66" customHeight="1">
      <x:c r="A13" s="6" t="str">
        <x:v>Качество рисунка</x:v>
      </x:c>
      <x:c r="B13" s="6" t="str">
        <x:v>TowerCatalog.QualityMultiplier</x:v>
      </x:c>
      <x:c r="C13" s="6" t="str">
        <x:v>Множитель темпа оружия</x:v>
      </x:c>
      <x:c r="D13" s="6" t="str">
        <x:v>Множитель качества равен единице. Рисунок и оценка сохраняются.</x:v>
      </x:c>
      <x:c r="E13" s="6" t="str">
        <x:v>Вкл.</x:v>
      </x:c>
      <x:c r="F13" s="6" t="str">
        <x:v>Вкл.</x:v>
      </x:c>
      <x:c r="G13" s="6" t="str">
        <x:v>Независима от геометрии мортиры</x:v>
      </x:c>
    </x:row>
    <x:row r="15" ht="22" customHeight="1">
      <x:c r="A15" s="4" t="str">
        <x:v>Legacy enemyMechanics=false сохраняет прежний рост HP по волнам. Нейтральное выключение задаёт новый отдельный флаг.</x:v>
      </x:c>
      <x:c r="B15" s="4"/>
      <x:c r="C15" s="4"/>
      <x:c r="D15" s="4"/>
      <x:c r="E15" s="4"/>
      <x:c r="F15" s="4"/>
      <x:c r="G15" s="4"/>
    </x:row>
    <x:row r="16" ht="22" customHeight="1">
      <x:c r="A16" s="4" t="str">
        <x:v>Конфигурация разрешается один раз. Отключение сохраняет ID деталей, каталог и совместимость профиля.</x:v>
      </x:c>
      <x:c r="B16" s="4"/>
      <x:c r="C16" s="4"/>
      <x:c r="D16" s="4"/>
      <x:c r="E16" s="4"/>
      <x:c r="F16" s="4"/>
      <x:c r="G16" s="4"/>
    </x:row>
    <x:row r="18" ht="40" customHeight="1">
      <x:c r="A18" s="9" t="str">
        <x:v>Слой</x:v>
      </x:c>
      <x:c r="B18" s="9" t="str">
        <x:v>Ответственность</x:v>
      </x:c>
      <x:c r="C18" s="9" t="str">
        <x:v>Данные / контракт</x:v>
      </x:c>
    </x:row>
    <x:row r="19" ht="44" customHeight="1">
      <x:c r="A19" s="6" t="str">
        <x:v>Core</x:v>
      </x:c>
      <x:c r="B19" s="6" t="str">
        <x:v>Правила и состояние партии</x:v>
      </x:c>
      <x:c r="C19" s="6" t="str">
        <x:v>Механики, команды, формулы, события, read model</x:v>
      </x:c>
    </x:row>
    <x:row r="20" ht="44" customHeight="1">
      <x:c r="A20" s="6" t="str">
        <x:v>Application</x:v>
      </x:c>
      <x:c r="B20" s="6" t="str">
        <x:v>Сценарии и хранение</x:v>
      </x:c>
      <x:c r="C20" s="6" t="str">
        <x:v>GameBalanceAsset, RunController, IO профиля</x:v>
      </x:c>
    </x:row>
    <x:row r="21" ht="44" customHeight="1">
      <x:c r="A21" s="6" t="str">
        <x:v>Presentation</x:v>
      </x:c>
      <x:c r="B21" s="6" t="str">
        <x:v>Отображение и ввод</x:v>
      </x:c>
      <x:c r="C21" s="6" t="str">
        <x:v>Показывает доступные команды. Игровые формулы получает из Core</x:v>
      </x:c>
    </x:row>
    <x:row r="22" ht="44" customHeight="1">
      <x:c r="A22" s="6" t="str">
        <x:v>Editor / Validation</x:v>
      </x:c>
      <x:c r="B22" s="6" t="str">
        <x:v>Проверки и экспорт</x:v>
      </x:c>
      <x:c r="C22" s="6" t="str">
        <x:v>Экспортирует эффективный баланс. Не меняет профиль или текущую партию</x:v>
      </x:c>
    </x:row>
    <x:row r="25" ht="22" customHeight="1">
      <x:c r="A25" s="4" t="str">
        <x:v>Target — текущая настройка баланса. Таблица фиксирует правила, а не оценку проходимости или FPS.</x:v>
      </x:c>
      <x:c r="B25" s="4"/>
      <x:c r="C25" s="4"/>
      <x:c r="D25" s="4"/>
      <x:c r="E25" s="4"/>
      <x:c r="F25" s="4"/>
      <x:c r="G25" s="4"/>
    </x:row>
  </x:sheetData>
  <x:pageMargins left="0.7" right="0.7" top="0.75" bottom="0.75" header="0.3" footer="0.3"/>
  <x:tableParts count="2">
    <x:tablePart xmlns:r="http://schemas.openxmlformats.org/officeDocument/2006/relationships" r:id="Rcd71fd1f9b6a4a72"/>
    <x:tablePart xmlns:r="http://schemas.openxmlformats.org/officeDocument/2006/relationships" r:id="R1f31d6aa32c74f92"/>
  </x:tableParts>
</x:worksheet>
</file>

<file path=xl/worksheets/sheet2.xml><?xml version="1.0" encoding="utf-8"?>
<x:worksheet xmlns:x="http://schemas.openxmlformats.org/spreadsheetml/2006/main">
  <x:sheetPr>
    <x:tabColor rgb="FF3E5975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Расчеты сборки и геометрии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2" customHeight="1">
      <x:c r="A4" s="4" t="str">
        <x:v>Пример: обычное основание, один пулемёт и броня. Формулы Excel сверяются с TowerCatalog.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6" ht="40" customHeight="1">
      <x:c r="A6" s="9" t="str">
        <x:v>Пресет</x:v>
      </x:c>
      <x:c r="B6" s="9" t="str">
        <x:v>Материал</x:v>
      </x:c>
      <x:c r="C6" s="9" t="str">
        <x:v>Основание</x:v>
      </x:c>
      <x:c r="D6" s="9" t="str">
        <x:v>Оружие</x:v>
      </x:c>
      <x:c r="E6" s="9" t="str">
        <x:v>Кредит</x:v>
      </x:c>
      <x:c r="F6" s="9" t="str">
        <x:v>Броня</x:v>
      </x:c>
      <x:c r="G6" s="9" t="str">
        <x:v>Цена мат. ×</x:v>
      </x:c>
      <x:c r="H6" s="9" t="str">
        <x:v>Цена Excel</x:v>
      </x:c>
      <x:c r="I6" s="9" t="str">
        <x:v>Цена Core</x:v>
      </x:c>
      <x:c r="J6" s="9" t="str">
        <x:v>Δ</x:v>
      </x:c>
    </x:row>
    <x:row r="7" ht="25" customHeight="1">
      <x:c r="A7" s="6" t="str">
        <x:v>Notebook</x:v>
      </x:c>
      <x:c r="B7" s="6" t="str">
        <x:v>Pencil</x:v>
      </x:c>
      <x:c r="C7" s="11" t="n">
        <x:v>16</x:v>
      </x:c>
      <x:c r="D7" s="11" t="n">
        <x:v>40</x:v>
      </x:c>
      <x:c r="E7" s="11" t="n">
        <x:v>16</x:v>
      </x:c>
      <x:c r="F7" s="11" t="n">
        <x:v>18</x:v>
      </x:c>
      <x:c r="G7" s="13" t="n">
        <x:v>1</x:v>
      </x:c>
      <x:c r="H7" s="14" t="n">
        <x:f>ROUNDUP((C7+MAX(0,D7-E7)+F7)*G7,0)</x:f>
        <x:v>58</x:v>
      </x:c>
      <x:c r="I7" s="11" t="n">
        <x:v>58</x:v>
      </x:c>
      <x:c r="J7" s="14" t="n">
        <x:f>H7-I7</x:f>
        <x:v>0</x:v>
      </x:c>
    </x:row>
    <x:row r="8" ht="25" customHeight="1">
      <x:c r="A8" s="6" t="str">
        <x:v>Notebook</x:v>
      </x:c>
      <x:c r="B8" s="6" t="str">
        <x:v>Ink</x:v>
      </x:c>
      <x:c r="C8" s="11" t="n">
        <x:v>16</x:v>
      </x:c>
      <x:c r="D8" s="11" t="n">
        <x:v>40</x:v>
      </x:c>
      <x:c r="E8" s="11" t="n">
        <x:v>16</x:v>
      </x:c>
      <x:c r="F8" s="11" t="n">
        <x:v>18</x:v>
      </x:c>
      <x:c r="G8" s="13" t="n">
        <x:v>1.7999999523162842</x:v>
      </x:c>
      <x:c r="H8" s="14" t="n">
        <x:f>ROUNDUP((C8+MAX(0,D8-E8)+F8)*G8,0)</x:f>
        <x:v>105</x:v>
      </x:c>
      <x:c r="I8" s="11" t="n">
        <x:v>105</x:v>
      </x:c>
      <x:c r="J8" s="14" t="n">
        <x:f>H8-I8</x:f>
        <x:v>0</x:v>
      </x:c>
    </x:row>
    <x:row r="9" ht="25" customHeight="1">
      <x:c r="A9" s="6" t="str">
        <x:v>Notebook</x:v>
      </x:c>
      <x:c r="B9" s="6" t="str">
        <x:v>Marker</x:v>
      </x:c>
      <x:c r="C9" s="11" t="n">
        <x:v>16</x:v>
      </x:c>
      <x:c r="D9" s="11" t="n">
        <x:v>40</x:v>
      </x:c>
      <x:c r="E9" s="11" t="n">
        <x:v>16</x:v>
      </x:c>
      <x:c r="F9" s="11" t="n">
        <x:v>18</x:v>
      </x:c>
      <x:c r="G9" s="13" t="n">
        <x:v>3.200000047683716</x:v>
      </x:c>
      <x:c r="H9" s="14" t="n">
        <x:f>ROUNDUP((C9+MAX(0,D9-E9)+F9)*G9,0)</x:f>
        <x:v>186</x:v>
      </x:c>
      <x:c r="I9" s="11" t="n">
        <x:v>186</x:v>
      </x:c>
      <x:c r="J9" s="14" t="n">
        <x:f>H9-I9</x:f>
        <x:v>0</x:v>
      </x:c>
    </x:row>
    <x:row r="10" ht="25" customHeight="1">
      <x:c r="A10" s="6" t="str">
        <x:v>Target</x:v>
      </x:c>
      <x:c r="B10" s="6" t="str">
        <x:v>Pencil</x:v>
      </x:c>
      <x:c r="C10" s="11" t="n">
        <x:v>16</x:v>
      </x:c>
      <x:c r="D10" s="11" t="n">
        <x:v>40</x:v>
      </x:c>
      <x:c r="E10" s="11" t="n">
        <x:v>16</x:v>
      </x:c>
      <x:c r="F10" s="11" t="n">
        <x:v>18</x:v>
      </x:c>
      <x:c r="G10" s="13" t="n">
        <x:v>1</x:v>
      </x:c>
      <x:c r="H10" s="14" t="n">
        <x:f>ROUNDUP((C10+MAX(0,D10-E10)+F10)*G10,0)</x:f>
        <x:v>58</x:v>
      </x:c>
      <x:c r="I10" s="11" t="n">
        <x:v>58</x:v>
      </x:c>
      <x:c r="J10" s="14" t="n">
        <x:f>H10-I10</x:f>
        <x:v>0</x:v>
      </x:c>
    </x:row>
    <x:row r="11" ht="25" customHeight="1">
      <x:c r="A11" s="6" t="str">
        <x:v>Target</x:v>
      </x:c>
      <x:c r="B11" s="6" t="str">
        <x:v>Ink</x:v>
      </x:c>
      <x:c r="C11" s="11" t="n">
        <x:v>16</x:v>
      </x:c>
      <x:c r="D11" s="11" t="n">
        <x:v>40</x:v>
      </x:c>
      <x:c r="E11" s="11" t="n">
        <x:v>16</x:v>
      </x:c>
      <x:c r="F11" s="11" t="n">
        <x:v>18</x:v>
      </x:c>
      <x:c r="G11" s="13" t="n">
        <x:v>1.7999999523162842</x:v>
      </x:c>
      <x:c r="H11" s="14" t="n">
        <x:f>ROUNDUP((C11+MAX(0,D11-E11)+F11)*G11,0)</x:f>
        <x:v>105</x:v>
      </x:c>
      <x:c r="I11" s="11" t="n">
        <x:v>105</x:v>
      </x:c>
      <x:c r="J11" s="14" t="n">
        <x:f>H11-I11</x:f>
        <x:v>0</x:v>
      </x:c>
    </x:row>
    <x:row r="12" ht="25" customHeight="1">
      <x:c r="A12" s="6" t="str">
        <x:v>Target</x:v>
      </x:c>
      <x:c r="B12" s="6" t="str">
        <x:v>Marker</x:v>
      </x:c>
      <x:c r="C12" s="11" t="n">
        <x:v>16</x:v>
      </x:c>
      <x:c r="D12" s="11" t="n">
        <x:v>40</x:v>
      </x:c>
      <x:c r="E12" s="11" t="n">
        <x:v>16</x:v>
      </x:c>
      <x:c r="F12" s="11" t="n">
        <x:v>18</x:v>
      </x:c>
      <x:c r="G12" s="13" t="n">
        <x:v>3.200000047683716</x:v>
      </x:c>
      <x:c r="H12" s="14" t="n">
        <x:f>ROUNDUP((C12+MAX(0,D12-E12)+F12)*G12,0)</x:f>
        <x:v>186</x:v>
      </x:c>
      <x:c r="I12" s="11" t="n">
        <x:v>186</x:v>
      </x:c>
      <x:c r="J12" s="14" t="n">
        <x:f>H12-I12</x:f>
        <x:v>0</x:v>
      </x:c>
    </x:row>
    <x:row r="16" ht="40" customHeight="1">
      <x:c r="A16" s="9" t="str">
        <x:v>Пресет</x:v>
      </x:c>
      <x:c r="B16" s="9" t="str">
        <x:v>Материал</x:v>
      </x:c>
      <x:c r="C16" s="9" t="str">
        <x:v>Основание HP</x:v>
      </x:c>
      <x:c r="D16" s="9" t="str">
        <x:v>Броня ×</x:v>
      </x:c>
      <x:c r="E16" s="9" t="str">
        <x:v>Материал HP ×</x:v>
      </x:c>
      <x:c r="F16" s="9" t="str">
        <x:v>HP Excel</x:v>
      </x:c>
      <x:c r="G16" s="9" t="str">
        <x:v>HP Core</x:v>
      </x:c>
      <x:c r="H16" s="9" t="str">
        <x:v>Δ HP</x:v>
      </x:c>
      <x:c r="I16" s="9" t="str">
        <x:v>Защита</x:v>
      </x:c>
      <x:c r="J16" s="9" t="str">
        <x:v>Эфф. HP</x:v>
      </x:c>
    </x:row>
    <x:row r="17" ht="25" customHeight="1">
      <x:c r="A17" s="6" t="str">
        <x:v>Notebook</x:v>
      </x:c>
      <x:c r="B17" s="6" t="str">
        <x:v>Pencil</x:v>
      </x:c>
      <x:c r="C17" s="13" t="n">
        <x:v>55</x:v>
      </x:c>
      <x:c r="D17" s="13" t="n">
        <x:v>1.5</x:v>
      </x:c>
      <x:c r="E17" s="13" t="n">
        <x:v>1</x:v>
      </x:c>
      <x:c r="F17" s="16" t="n">
        <x:f>MAX(1,C17*D17*E17)</x:f>
        <x:v>82.5</x:v>
      </x:c>
      <x:c r="G17" s="13" t="n">
        <x:v>82.5</x:v>
      </x:c>
      <x:c r="H17" s="16" t="n">
        <x:f>F17-G17</x:f>
        <x:v>0</x:v>
      </x:c>
      <x:c r="I17" s="15" t="n">
        <x:v>0</x:v>
      </x:c>
      <x:c r="J17" s="16" t="n">
        <x:f>F17/(1-I17)</x:f>
        <x:v>82.5</x:v>
      </x:c>
    </x:row>
    <x:row r="18" ht="25" customHeight="1">
      <x:c r="A18" s="6" t="str">
        <x:v>Notebook</x:v>
      </x:c>
      <x:c r="B18" s="6" t="str">
        <x:v>Ink</x:v>
      </x:c>
      <x:c r="C18" s="13" t="n">
        <x:v>55</x:v>
      </x:c>
      <x:c r="D18" s="13" t="n">
        <x:v>1.5</x:v>
      </x:c>
      <x:c r="E18" s="13" t="n">
        <x:v>2.0999999046325684</x:v>
      </x:c>
      <x:c r="F18" s="16" t="n">
        <x:f>MAX(1,C18*D18*E18)</x:f>
        <x:v>173.2499921321869</x:v>
      </x:c>
      <x:c r="G18" s="13" t="n">
        <x:v>173.24998474121094</x:v>
      </x:c>
      <x:c r="H18" s="16" t="n">
        <x:f>F18-G18</x:f>
        <x:v>0.0000073909759521484375</x:v>
      </x:c>
      <x:c r="I18" s="15" t="n">
        <x:v>0</x:v>
      </x:c>
      <x:c r="J18" s="16" t="n">
        <x:f>F18/(1-I18)</x:f>
        <x:v>173.2499921321869</x:v>
      </x:c>
    </x:row>
    <x:row r="19" ht="25" customHeight="1">
      <x:c r="A19" s="6" t="str">
        <x:v>Notebook</x:v>
      </x:c>
      <x:c r="B19" s="6" t="str">
        <x:v>Marker</x:v>
      </x:c>
      <x:c r="C19" s="13" t="n">
        <x:v>55</x:v>
      </x:c>
      <x:c r="D19" s="13" t="n">
        <x:v>1.5</x:v>
      </x:c>
      <x:c r="E19" s="13" t="n">
        <x:v>4.199999809265137</x:v>
      </x:c>
      <x:c r="F19" s="16" t="n">
        <x:f>MAX(1,C19*D19*E19)</x:f>
        <x:v>346.4999842643738</x:v>
      </x:c>
      <x:c r="G19" s="13" t="n">
        <x:v>346.4999694824219</x:v>
      </x:c>
      <x:c r="H19" s="16" t="n">
        <x:f>F19-G19</x:f>
        <x:v>0.000014781951904296875</x:v>
      </x:c>
      <x:c r="I19" s="15" t="n">
        <x:v>0</x:v>
      </x:c>
      <x:c r="J19" s="16" t="n">
        <x:f>F19/(1-I19)</x:f>
        <x:v>346.4999842643738</x:v>
      </x:c>
    </x:row>
    <x:row r="20" ht="25" customHeight="1">
      <x:c r="A20" s="6" t="str">
        <x:v>Target</x:v>
      </x:c>
      <x:c r="B20" s="6" t="str">
        <x:v>Pencil</x:v>
      </x:c>
      <x:c r="C20" s="13" t="n">
        <x:v>55</x:v>
      </x:c>
      <x:c r="D20" s="13" t="n">
        <x:v>1</x:v>
      </x:c>
      <x:c r="E20" s="13" t="n">
        <x:v>1</x:v>
      </x:c>
      <x:c r="F20" s="16" t="n">
        <x:f>MAX(1,C20*D20*E20)</x:f>
        <x:v>55</x:v>
      </x:c>
      <x:c r="G20" s="13" t="n">
        <x:v>55</x:v>
      </x:c>
      <x:c r="H20" s="16" t="n">
        <x:f>F20-G20</x:f>
        <x:v>0</x:v>
      </x:c>
      <x:c r="I20" s="15" t="n">
        <x:v>0.25</x:v>
      </x:c>
      <x:c r="J20" s="16" t="n">
        <x:f>F20/(1-I20)</x:f>
        <x:v>73.33333333333333</x:v>
      </x:c>
    </x:row>
    <x:row r="21" ht="25" customHeight="1">
      <x:c r="A21" s="6" t="str">
        <x:v>Target</x:v>
      </x:c>
      <x:c r="B21" s="6" t="str">
        <x:v>Ink</x:v>
      </x:c>
      <x:c r="C21" s="13" t="n">
        <x:v>55</x:v>
      </x:c>
      <x:c r="D21" s="13" t="n">
        <x:v>1</x:v>
      </x:c>
      <x:c r="E21" s="13" t="n">
        <x:v>2.0999999046325684</x:v>
      </x:c>
      <x:c r="F21" s="16" t="n">
        <x:f>MAX(1,C21*D21*E21)</x:f>
        <x:v>115.49999475479126</x:v>
      </x:c>
      <x:c r="G21" s="13" t="n">
        <x:v>115.49999237060547</x:v>
      </x:c>
      <x:c r="H21" s="16" t="n">
        <x:f>F21-G21</x:f>
        <x:v>0.000002384185791015625</x:v>
      </x:c>
      <x:c r="I21" s="15" t="n">
        <x:v>0.25</x:v>
      </x:c>
      <x:c r="J21" s="16" t="n">
        <x:f>F21/(1-I21)</x:f>
        <x:v>153.99999300638834</x:v>
      </x:c>
    </x:row>
    <x:row r="22" ht="25" customHeight="1">
      <x:c r="A22" s="6" t="str">
        <x:v>Target</x:v>
      </x:c>
      <x:c r="B22" s="6" t="str">
        <x:v>Marker</x:v>
      </x:c>
      <x:c r="C22" s="13" t="n">
        <x:v>55</x:v>
      </x:c>
      <x:c r="D22" s="13" t="n">
        <x:v>1</x:v>
      </x:c>
      <x:c r="E22" s="13" t="n">
        <x:v>4.199999809265137</x:v>
      </x:c>
      <x:c r="F22" s="16" t="n">
        <x:f>MAX(1,C22*D22*E22)</x:f>
        <x:v>230.99998950958252</x:v>
      </x:c>
      <x:c r="G22" s="13" t="n">
        <x:v>230.99998474121094</x:v>
      </x:c>
      <x:c r="H22" s="16" t="n">
        <x:f>F22-G22</x:f>
        <x:v>0.00000476837158203125</x:v>
      </x:c>
      <x:c r="I22" s="15" t="n">
        <x:v>0.25</x:v>
      </x:c>
      <x:c r="J22" s="16" t="n">
        <x:f>F22/(1-I22)</x:f>
        <x:v>307.9999860127767</x:v>
      </x:c>
    </x:row>
    <x:row r="26" ht="40" customHeight="1">
      <x:c r="A26" s="9" t="str">
        <x:v>Пресет</x:v>
      </x:c>
      <x:c r="B26" s="9" t="str">
        <x:v>Материал</x:v>
      </x:c>
      <x:c r="C26" s="9" t="str">
        <x:v>Урон оружия</x:v>
      </x:c>
      <x:c r="D26" s="9" t="str">
        <x:v>Мат. урон ×</x:v>
      </x:c>
      <x:c r="E26" s="9" t="str">
        <x:v>Урон Excel</x:v>
      </x:c>
      <x:c r="F26" s="9" t="str">
        <x:v>Урон Core</x:v>
      </x:c>
      <x:c r="G26" s="9" t="str">
        <x:v>Δ урон</x:v>
      </x:c>
      <x:c r="H26" s="9" t="str">
        <x:v>Интервал, с</x:v>
      </x:c>
      <x:c r="I26" s="9" t="str">
        <x:v>DPS одной цели</x:v>
      </x:c>
    </x:row>
    <x:row r="27" ht="25" customHeight="1">
      <x:c r="A27" s="6" t="str">
        <x:v>Notebook</x:v>
      </x:c>
      <x:c r="B27" s="6" t="str">
        <x:v>Pencil</x:v>
      </x:c>
      <x:c r="C27" s="13" t="n">
        <x:v>12</x:v>
      </x:c>
      <x:c r="D27" s="13" t="n">
        <x:v>1</x:v>
      </x:c>
      <x:c r="E27" s="16" t="n">
        <x:f>C27*D27</x:f>
        <x:v>12</x:v>
      </x:c>
      <x:c r="F27" s="13" t="n">
        <x:v>12</x:v>
      </x:c>
      <x:c r="G27" s="16" t="n">
        <x:f>E27-F27</x:f>
        <x:v>0</x:v>
      </x:c>
      <x:c r="H27" s="13" t="n">
        <x:v>0.41999998688697815</x:v>
      </x:c>
      <x:c r="I27" s="16" t="n">
        <x:f>E27/H27</x:f>
        <x:v>28.571429463470903</x:v>
      </x:c>
    </x:row>
    <x:row r="28" ht="25" customHeight="1">
      <x:c r="A28" s="6" t="str">
        <x:v>Notebook</x:v>
      </x:c>
      <x:c r="B28" s="6" t="str">
        <x:v>Ink</x:v>
      </x:c>
      <x:c r="C28" s="13" t="n">
        <x:v>12</x:v>
      </x:c>
      <x:c r="D28" s="13" t="n">
        <x:v>1.25</x:v>
      </x:c>
      <x:c r="E28" s="16" t="n">
        <x:f>C28*D28</x:f>
        <x:v>15</x:v>
      </x:c>
      <x:c r="F28" s="13" t="n">
        <x:v>15</x:v>
      </x:c>
      <x:c r="G28" s="16" t="n">
        <x:f>E28-F28</x:f>
        <x:v>0</x:v>
      </x:c>
      <x:c r="H28" s="13" t="n">
        <x:v>0.41999998688697815</x:v>
      </x:c>
      <x:c r="I28" s="16" t="n">
        <x:f>E28/H28</x:f>
        <x:v>35.714286829338626</x:v>
      </x:c>
    </x:row>
    <x:row r="29" ht="25" customHeight="1">
      <x:c r="A29" s="6" t="str">
        <x:v>Notebook</x:v>
      </x:c>
      <x:c r="B29" s="6" t="str">
        <x:v>Marker</x:v>
      </x:c>
      <x:c r="C29" s="13" t="n">
        <x:v>12</x:v>
      </x:c>
      <x:c r="D29" s="13" t="n">
        <x:v>1.600000023841858</x:v>
      </x:c>
      <x:c r="E29" s="16" t="n">
        <x:f>C29*D29</x:f>
        <x:v>19.200000286102295</x:v>
      </x:c>
      <x:c r="F29" s="13" t="n">
        <x:v>19.200000762939453</x:v>
      </x:c>
      <x:c r="G29" s="16" t="n">
        <x:f>E29-F29</x:f>
        <x:v>-4.76837158203125e-7</x:v>
      </x:c>
      <x:c r="H29" s="13" t="n">
        <x:v>0.41999998688697815</x:v>
      </x:c>
      <x:c r="I29" s="16" t="n">
        <x:f>E29/H29</x:f>
        <x:v>45.714287822749405</x:v>
      </x:c>
    </x:row>
    <x:row r="30" ht="25" customHeight="1">
      <x:c r="A30" s="6" t="str">
        <x:v>Target</x:v>
      </x:c>
      <x:c r="B30" s="6" t="str">
        <x:v>Pencil</x:v>
      </x:c>
      <x:c r="C30" s="13" t="n">
        <x:v>12</x:v>
      </x:c>
      <x:c r="D30" s="13" t="n">
        <x:v>1</x:v>
      </x:c>
      <x:c r="E30" s="16" t="n">
        <x:f>C30*D30</x:f>
        <x:v>12</x:v>
      </x:c>
      <x:c r="F30" s="13" t="n">
        <x:v>12</x:v>
      </x:c>
      <x:c r="G30" s="16" t="n">
        <x:f>E30-F30</x:f>
        <x:v>0</x:v>
      </x:c>
      <x:c r="H30" s="13" t="n">
        <x:v>0.41999998688697815</x:v>
      </x:c>
      <x:c r="I30" s="16" t="n">
        <x:f>E30/H30</x:f>
        <x:v>28.571429463470903</x:v>
      </x:c>
    </x:row>
    <x:row r="31" ht="25" customHeight="1">
      <x:c r="A31" s="6" t="str">
        <x:v>Target</x:v>
      </x:c>
      <x:c r="B31" s="6" t="str">
        <x:v>Ink</x:v>
      </x:c>
      <x:c r="C31" s="13" t="n">
        <x:v>12</x:v>
      </x:c>
      <x:c r="D31" s="13" t="n">
        <x:v>1</x:v>
      </x:c>
      <x:c r="E31" s="16" t="n">
        <x:f>C31*D31</x:f>
        <x:v>12</x:v>
      </x:c>
      <x:c r="F31" s="13" t="n">
        <x:v>12</x:v>
      </x:c>
      <x:c r="G31" s="16" t="n">
        <x:f>E31-F31</x:f>
        <x:v>0</x:v>
      </x:c>
      <x:c r="H31" s="13" t="n">
        <x:v>0.41999998688697815</x:v>
      </x:c>
      <x:c r="I31" s="16" t="n">
        <x:f>E31/H31</x:f>
        <x:v>28.571429463470903</x:v>
      </x:c>
    </x:row>
    <x:row r="32" ht="25" customHeight="1">
      <x:c r="A32" s="6" t="str">
        <x:v>Target</x:v>
      </x:c>
      <x:c r="B32" s="6" t="str">
        <x:v>Marker</x:v>
      </x:c>
      <x:c r="C32" s="13" t="n">
        <x:v>12</x:v>
      </x:c>
      <x:c r="D32" s="13" t="n">
        <x:v>1</x:v>
      </x:c>
      <x:c r="E32" s="16" t="n">
        <x:f>C32*D32</x:f>
        <x:v>12</x:v>
      </x:c>
      <x:c r="F32" s="13" t="n">
        <x:v>12</x:v>
      </x:c>
      <x:c r="G32" s="16" t="n">
        <x:f>E32-F32</x:f>
        <x:v>0</x:v>
      </x:c>
      <x:c r="H32" s="13" t="n">
        <x:v>0.41999998688697815</x:v>
      </x:c>
      <x:c r="I32" s="16" t="n">
        <x:f>E32/H32</x:f>
        <x:v>28.571429463470903</x:v>
      </x:c>
    </x:row>
    <x:row r="34" ht="22" customHeight="1">
      <x:c r="A34" s="4" t="str">
        <x:v>DPS — теоретический темп по одной цели без защиты, промахов и задержки захвата. Не прогноз результата боя.</x:v>
      </x:c>
      <x:c r="B34" s="4"/>
      <x:c r="C34" s="4"/>
      <x:c r="D34" s="4"/>
      <x:c r="E34" s="4"/>
      <x:c r="F34" s="4"/>
      <x:c r="G34" s="4"/>
      <x:c r="H34" s="4"/>
      <x:c r="I34" s="4"/>
      <x:c r="J34" s="4"/>
    </x:row>
    <x:row r="36" ht="40" customHeight="1">
      <x:c r="A36" s="9" t="str">
        <x:v>Пресет</x:v>
      </x:c>
      <x:c r="B36" s="9" t="str">
        <x:v>Материал</x:v>
      </x:c>
      <x:c r="C36" s="9" t="str">
        <x:v>Оплачено</x:v>
      </x:c>
      <x:c r="D36" s="9" t="str">
        <x:v>Доля возврата</x:v>
      </x:c>
      <x:c r="E36" s="9" t="str">
        <x:v>Предел</x:v>
      </x:c>
      <x:c r="F36" s="9" t="str">
        <x:v>Возврат Excel</x:v>
      </x:c>
    </x:row>
    <x:row r="37" ht="25" customHeight="1">
      <x:c r="A37" s="6" t="str">
        <x:v>Notebook</x:v>
      </x:c>
      <x:c r="B37" s="6" t="str">
        <x:v>Pencil</x:v>
      </x:c>
      <x:c r="C37" s="11" t="n">
        <x:v>58</x:v>
      </x:c>
      <x:c r="D37" s="13" t="n">
        <x:v>0.800000011920929</x:v>
      </x:c>
      <x:c r="E37" s="13" t="n">
        <x:v>0.949999988079071</x:v>
      </x:c>
      <x:c r="F37" s="14" t="n">
        <x:f>INT(C37*MIN(D37,E37)+0.00001)</x:f>
        <x:v>46</x:v>
      </x:c>
    </x:row>
    <x:row r="38" ht="25" customHeight="1">
      <x:c r="A38" s="6" t="str">
        <x:v>Notebook</x:v>
      </x:c>
      <x:c r="B38" s="6" t="str">
        <x:v>Ink</x:v>
      </x:c>
      <x:c r="C38" s="11" t="n">
        <x:v>105</x:v>
      </x:c>
      <x:c r="D38" s="13" t="n">
        <x:v>0.4000000059604645</x:v>
      </x:c>
      <x:c r="E38" s="13" t="n">
        <x:v>0.949999988079071</x:v>
      </x:c>
      <x:c r="F38" s="14" t="n">
        <x:f>INT(C38*MIN(D38,E38)+0.00001)</x:f>
        <x:v>42</x:v>
      </x:c>
    </x:row>
    <x:row r="39" ht="25" customHeight="1">
      <x:c r="A39" s="6" t="str">
        <x:v>Notebook</x:v>
      </x:c>
      <x:c r="B39" s="6" t="str">
        <x:v>Marker</x:v>
      </x:c>
      <x:c r="C39" s="11" t="n">
        <x:v>186</x:v>
      </x:c>
      <x:c r="D39" s="13" t="n">
        <x:v>0.20000000298023224</x:v>
      </x:c>
      <x:c r="E39" s="13" t="n">
        <x:v>0.949999988079071</x:v>
      </x:c>
      <x:c r="F39" s="14" t="n">
        <x:f>INT(C39*MIN(D39,E39)+0.00001)</x:f>
        <x:v>37</x:v>
      </x:c>
    </x:row>
    <x:row r="40" ht="25" customHeight="1">
      <x:c r="A40" s="6" t="str">
        <x:v>Target</x:v>
      </x:c>
      <x:c r="B40" s="6" t="str">
        <x:v>Pencil</x:v>
      </x:c>
      <x:c r="C40" s="11" t="n">
        <x:v>58</x:v>
      </x:c>
      <x:c r="D40" s="13" t="n">
        <x:v>0.800000011920929</x:v>
      </x:c>
      <x:c r="E40" s="13" t="n">
        <x:v>0.949999988079071</x:v>
      </x:c>
      <x:c r="F40" s="14" t="n">
        <x:f>INT(C40*MIN(D40,E40)+0.00001)</x:f>
        <x:v>46</x:v>
      </x:c>
    </x:row>
    <x:row r="41" ht="25" customHeight="1">
      <x:c r="A41" s="6" t="str">
        <x:v>Target</x:v>
      </x:c>
      <x:c r="B41" s="6" t="str">
        <x:v>Ink</x:v>
      </x:c>
      <x:c r="C41" s="11" t="n">
        <x:v>105</x:v>
      </x:c>
      <x:c r="D41" s="13" t="n">
        <x:v>0.4000000059604645</x:v>
      </x:c>
      <x:c r="E41" s="13" t="n">
        <x:v>0.949999988079071</x:v>
      </x:c>
      <x:c r="F41" s="14" t="n">
        <x:f>INT(C41*MIN(D41,E41)+0.00001)</x:f>
        <x:v>42</x:v>
      </x:c>
    </x:row>
    <x:row r="42" ht="25" customHeight="1">
      <x:c r="A42" s="6" t="str">
        <x:v>Target</x:v>
      </x:c>
      <x:c r="B42" s="6" t="str">
        <x:v>Marker</x:v>
      </x:c>
      <x:c r="C42" s="11" t="n">
        <x:v>186</x:v>
      </x:c>
      <x:c r="D42" s="13" t="n">
        <x:v>0.20000000298023224</x:v>
      </x:c>
      <x:c r="E42" s="13" t="n">
        <x:v>0.949999988079071</x:v>
      </x:c>
      <x:c r="F42" s="14" t="n">
        <x:f>INT(C42*MIN(D42,E42)+0.00001)</x:f>
        <x:v>37</x:v>
      </x:c>
    </x:row>
    <x:row r="44" ht="22" customHeight="1">
      <x:c r="A44" s="4" t="str">
        <x:v>Возврат показан при полном HP и без Salvage. В игре он дополнительно умножается на текущую долю HP.</x:v>
      </x:c>
      <x:c r="B44" s="4"/>
      <x:c r="C44" s="4"/>
      <x:c r="D44" s="4"/>
      <x:c r="E44" s="4"/>
      <x:c r="F44" s="4"/>
      <x:c r="G44" s="4"/>
      <x:c r="H44" s="4"/>
      <x:c r="I44" s="4"/>
      <x:c r="J44" s="4"/>
    </x:row>
    <x:row r="46" ht="40" customHeight="1">
      <x:c r="A46" s="9" t="str">
        <x:v>Пресет</x:v>
      </x:c>
      <x:c r="B46" s="9" t="str">
        <x:v>Радиус</x:v>
      </x:c>
      <x:c r="C46" s="9" t="str">
        <x:v>Пропорция q</x:v>
      </x:c>
      <x:c r="D46" s="9" t="str">
        <x:v>Вдоль Excel</x:v>
      </x:c>
      <x:c r="E46" s="9" t="str">
        <x:v>Вдоль Core</x:v>
      </x:c>
      <x:c r="F46" s="9" t="str">
        <x:v>Поперёк Excel</x:v>
      </x:c>
      <x:c r="G46" s="9" t="str">
        <x:v>Поперёк Core</x:v>
      </x:c>
      <x:c r="H46" s="9" t="str">
        <x:v>Площадь овала</x:v>
      </x:c>
      <x:c r="I46" s="9" t="str">
        <x:v>Площадь круга</x:v>
      </x:c>
      <x:c r="J46" s="9" t="str">
        <x:v>Δ площади</x:v>
      </x:c>
    </x:row>
    <x:row r="47" ht="25" customHeight="1">
      <x:c r="A47" s="6" t="str">
        <x:v>Notebook</x:v>
      </x:c>
      <x:c r="B47" s="13" t="n">
        <x:v>2.4000000953674316</x:v>
      </x:c>
      <x:c r="C47" s="13" t="n">
        <x:v>1</x:v>
      </x:c>
      <x:c r="D47" s="16" t="n">
        <x:f>B47*SQRT(C47)</x:f>
        <x:v>2.4000000953674316</x:v>
      </x:c>
      <x:c r="E47" s="13" t="n">
        <x:v>2.4000000953674316</x:v>
      </x:c>
      <x:c r="F47" s="16" t="n">
        <x:f>B47/SQRT(C47)</x:f>
        <x:v>2.4000000953674316</x:v>
      </x:c>
      <x:c r="G47" s="13" t="n">
        <x:v>2.4000000953674316</x:v>
      </x:c>
      <x:c r="H47" s="16" t="n">
        <x:f>PI()*D47*F47</x:f>
        <x:v>18.095575122784226</x:v>
      </x:c>
      <x:c r="I47" s="16" t="n">
        <x:f>PI()*B47^2</x:f>
        <x:v>18.095575122784226</x:v>
      </x:c>
      <x:c r="J47" s="16" t="n">
        <x:f>H47-I47</x:f>
        <x:v>0</x:v>
      </x:c>
    </x:row>
    <x:row r="48" ht="25" customHeight="1">
      <x:c r="A48" s="6" t="str">
        <x:v>Notebook</x:v>
      </x:c>
      <x:c r="B48" s="13" t="n">
        <x:v>2.4000000953674316</x:v>
      </x:c>
      <x:c r="C48" s="13" t="n">
        <x:v>3</x:v>
      </x:c>
      <x:c r="D48" s="16" t="n">
        <x:f>B48*SQRT(C48)</x:f>
        <x:v>4.156922103346543</x:v>
      </x:c>
      <x:c r="E48" s="13" t="n">
        <x:v>4.156922340393066</x:v>
      </x:c>
      <x:c r="F48" s="16" t="n">
        <x:f>B48/SQRT(C48)</x:f>
        <x:v>1.3856407011155143</x:v>
      </x:c>
      <x:c r="G48" s="13" t="n">
        <x:v>1.3856407403945923</x:v>
      </x:c>
      <x:c r="H48" s="16" t="n">
        <x:f>PI()*D48*F48</x:f>
        <x:v>18.09557512278423</x:v>
      </x:c>
      <x:c r="I48" s="16" t="n">
        <x:f>PI()*B48^2</x:f>
        <x:v>18.095575122784226</x:v>
      </x:c>
      <x:c r="J48" s="16" t="n">
        <x:f>H48-I48</x:f>
        <x:v>3.552713678800501e-15</x:v>
      </x:c>
    </x:row>
    <x:row r="49" ht="25" customHeight="1">
      <x:c r="A49" s="6" t="str">
        <x:v>Target</x:v>
      </x:c>
      <x:c r="B49" s="13" t="n">
        <x:v>2.4000000953674316</x:v>
      </x:c>
      <x:c r="C49" s="13" t="n">
        <x:v>1</x:v>
      </x:c>
      <x:c r="D49" s="16" t="n">
        <x:f>B49*SQRT(C49)</x:f>
        <x:v>2.4000000953674316</x:v>
      </x:c>
      <x:c r="E49" s="13" t="n">
        <x:v>2.4000000953674316</x:v>
      </x:c>
      <x:c r="F49" s="16" t="n">
        <x:f>B49/SQRT(C49)</x:f>
        <x:v>2.4000000953674316</x:v>
      </x:c>
      <x:c r="G49" s="13" t="n">
        <x:v>2.4000000953674316</x:v>
      </x:c>
      <x:c r="H49" s="16" t="n">
        <x:f>PI()*D49*F49</x:f>
        <x:v>18.095575122784226</x:v>
      </x:c>
      <x:c r="I49" s="16" t="n">
        <x:f>PI()*B49^2</x:f>
        <x:v>18.095575122784226</x:v>
      </x:c>
      <x:c r="J49" s="16" t="n">
        <x:f>H49-I49</x:f>
        <x:v>0</x:v>
      </x:c>
    </x:row>
    <x:row r="50" ht="25" customHeight="1">
      <x:c r="A50" s="6" t="str">
        <x:v>Target</x:v>
      </x:c>
      <x:c r="B50" s="13" t="n">
        <x:v>2.4000000953674316</x:v>
      </x:c>
      <x:c r="C50" s="13" t="n">
        <x:v>3</x:v>
      </x:c>
      <x:c r="D50" s="16" t="n">
        <x:f>B50*SQRT(C50)</x:f>
        <x:v>4.156922103346543</x:v>
      </x:c>
      <x:c r="E50" s="13" t="n">
        <x:v>4.156922340393066</x:v>
      </x:c>
      <x:c r="F50" s="16" t="n">
        <x:f>B50/SQRT(C50)</x:f>
        <x:v>1.3856407011155143</x:v>
      </x:c>
      <x:c r="G50" s="13" t="n">
        <x:v>1.3856407403945923</x:v>
      </x:c>
      <x:c r="H50" s="16" t="n">
        <x:f>PI()*D50*F50</x:f>
        <x:v>18.09557512278423</x:v>
      </x:c>
      <x:c r="I50" s="16" t="n">
        <x:f>PI()*B50^2</x:f>
        <x:v>18.095575122784226</x:v>
      </x:c>
      <x:c r="J50" s="16" t="n">
        <x:f>H50-I50</x:f>
        <x:v>3.552713678800501e-15</x:v>
      </x:c>
    </x:row>
  </x:sheetData>
  <x:conditionalFormatting sqref="J7:J12">
    <x:cfRule type="cellIs" dxfId="0" priority="1" operator="notBetween">
      <x:formula>-0.0001</x:formula>
      <x:formula>0.0001</x:formula>
    </x:cfRule>
  </x:conditionalFormatting>
  <x:conditionalFormatting sqref="H17:H22">
    <x:cfRule type="cellIs" dxfId="1" priority="2" operator="notBetween">
      <x:formula>-0.0001</x:formula>
      <x:formula>0.0001</x:formula>
    </x:cfRule>
  </x:conditionalFormatting>
  <x:conditionalFormatting sqref="G27:G32">
    <x:cfRule type="cellIs" dxfId="2" priority="3" operator="notBetween">
      <x:formula>-0.0001</x:formula>
      <x:formula>0.0001</x:formula>
    </x:cfRule>
  </x:conditionalFormatting>
  <x:conditionalFormatting sqref="J47:J50">
    <x:cfRule type="cellIs" dxfId="3" priority="4" operator="notBetween">
      <x:formula>-0.0001</x:formula>
      <x:formula>0.0001</x:formula>
    </x:cfRule>
  </x:conditionalFormatting>
  <x:pageMargins left="0.7" right="0.7" top="0.75" bottom="0.75" header="0.3" footer="0.3"/>
  <x:tableParts count="5">
    <x:tablePart xmlns:r="http://schemas.openxmlformats.org/officeDocument/2006/relationships" r:id="R978b37dbca7444d9"/>
    <x:tablePart xmlns:r="http://schemas.openxmlformats.org/officeDocument/2006/relationships" r:id="R63f37e4ef4f14694"/>
    <x:tablePart xmlns:r="http://schemas.openxmlformats.org/officeDocument/2006/relationships" r:id="R3197d0b3e98048be"/>
    <x:tablePart xmlns:r="http://schemas.openxmlformats.org/officeDocument/2006/relationships" r:id="R806b3133b4094cb1"/>
    <x:tablePart xmlns:r="http://schemas.openxmlformats.org/officeDocument/2006/relationships" r:id="Rf7f5c22271ef46ee"/>
  </x:tableParts>
</x:worksheet>
</file>

<file path=xl/worksheets/sheet3.xml><?xml version="1.0" encoding="utf-8"?>
<x:worksheet xmlns:x="http://schemas.openxmlformats.org/spreadsheetml/2006/main">
  <x:sheetPr>
    <x:tabColor rgb="FFBBC8D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  <x:col min="9" max="9" width="18" hidden="0" customWidth="1"/>
    <x:col min="10" max="10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Оружие и укрепления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2" customHeight="1">
      <x:c r="A4" s="4" t="str">
        <x:v>Характеристики до материала, подачи, качества и улучшений. HP отдельного инструмента отличается от HP основания.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6" ht="40" customHeight="1">
      <x:c r="A6" s="9" t="str">
        <x:v>Пресет</x:v>
      </x:c>
      <x:c r="B6" s="9" t="str">
        <x:v>Вид</x:v>
      </x:c>
      <x:c r="C6" s="9" t="str">
        <x:v>Цена</x:v>
      </x:c>
      <x:c r="D6" s="9" t="str">
        <x:v>HP</x:v>
      </x:c>
      <x:c r="E6" s="9" t="str">
        <x:v>Стройка, с</x:v>
      </x:c>
      <x:c r="F6" s="9" t="str">
        <x:v>Дальность</x:v>
      </x:c>
      <x:c r="G6" s="9" t="str">
        <x:v>Урон</x:v>
      </x:c>
      <x:c r="H6" s="9" t="str">
        <x:v>Интервал, с</x:v>
      </x:c>
      <x:c r="I6" s="9" t="str">
        <x:v>DPS одной цели</x:v>
      </x:c>
      <x:c r="J6" s="9" t="str">
        <x:v>Действие</x:v>
      </x:c>
    </x:row>
    <x:row r="7" ht="43" customHeight="1">
      <x:c r="A7" s="6" t="str">
        <x:v>Notebook</x:v>
      </x:c>
      <x:c r="B7" s="6" t="str">
        <x:v>Wall</x:v>
      </x:c>
      <x:c r="C7" s="11" t="n">
        <x:v>3</x:v>
      </x:c>
      <x:c r="D7" s="11" t="n">
        <x:v>65</x:v>
      </x:c>
      <x:c r="E7" s="13" t="n">
        <x:v>0.3499999940395355</x:v>
      </x:c>
      <x:c r="F7" s="13" t="n">
        <x:v>0</x:v>
      </x:c>
      <x:c r="G7" s="13" t="n">
        <x:v>0</x:v>
      </x:c>
      <x:c r="H7" s="13" t="n">
        <x:v>0.05000000074505806</x:v>
      </x:c>
      <x:c r="I7" s="13" t="str">
        <x:v>не применяется</x:v>
      </x:c>
      <x:c r="J7" s="6" t="str">
        <x:v>Препятствие. Урона не наносит.</x:v>
      </x:c>
    </x:row>
    <x:row r="8" ht="43" customHeight="1">
      <x:c r="A8" s="6" t="str">
        <x:v>Notebook</x:v>
      </x:c>
      <x:c r="B8" s="6" t="str">
        <x:v>Gun</x:v>
      </x:c>
      <x:c r="C8" s="11" t="n">
        <x:v>40</x:v>
      </x:c>
      <x:c r="D8" s="11" t="n">
        <x:v>55</x:v>
      </x:c>
      <x:c r="E8" s="13" t="n">
        <x:v>1.399999976158142</x:v>
      </x:c>
      <x:c r="F8" s="13" t="n">
        <x:v>11</x:v>
      </x:c>
      <x:c r="G8" s="13" t="n">
        <x:v>12</x:v>
      </x:c>
      <x:c r="H8" s="13" t="n">
        <x:v>0.41999998688697815</x:v>
      </x:c>
      <x:c r="I8" s="16" t="n">
        <x:f>G8/MAX(0.05,H8)</x:f>
        <x:v>28.571429463470903</x:v>
      </x:c>
      <x:c r="J8" s="6" t="str">
        <x:v>Одна цель.</x:v>
      </x:c>
    </x:row>
    <x:row r="9" ht="43" customHeight="1">
      <x:c r="A9" s="6" t="str">
        <x:v>Notebook</x:v>
      </x:c>
      <x:c r="B9" s="6" t="str">
        <x:v>Piercer</x:v>
      </x:c>
      <x:c r="C9" s="11" t="n">
        <x:v>65</x:v>
      </x:c>
      <x:c r="D9" s="11" t="n">
        <x:v>50</x:v>
      </x:c>
      <x:c r="E9" s="13" t="n">
        <x:v>1.899999976158142</x:v>
      </x:c>
      <x:c r="F9" s="13" t="n">
        <x:v>14</x:v>
      </x:c>
      <x:c r="G9" s="13" t="n">
        <x:v>18</x:v>
      </x:c>
      <x:c r="H9" s="13" t="n">
        <x:v>1.0499999523162842</x:v>
      </x:c>
      <x:c r="I9" s="16" t="n">
        <x:f>G9/MAX(0.05,H9)</x:f>
        <x:v>17.142857921366826</x:v>
      </x:c>
      <x:c r="J9" s="6" t="str">
        <x:v>Линия. Radius — полуширина. MaxPierce — конечный предел целей.</x:v>
      </x:c>
    </x:row>
    <x:row r="10" ht="43" customHeight="1">
      <x:c r="A10" s="6" t="str">
        <x:v>Notebook</x:v>
      </x:c>
      <x:c r="B10" s="6" t="str">
        <x:v>Mortar</x:v>
      </x:c>
      <x:c r="C10" s="11" t="n">
        <x:v>90</x:v>
      </x:c>
      <x:c r="D10" s="11" t="n">
        <x:v>60</x:v>
      </x:c>
      <x:c r="E10" s="13" t="n">
        <x:v>2.4000000953674316</x:v>
      </x:c>
      <x:c r="F10" s="13" t="n">
        <x:v>16</x:v>
      </x:c>
      <x:c r="G10" s="13" t="n">
        <x:v>25</x:v>
      </x:c>
      <x:c r="H10" s="13" t="n">
        <x:v>1.7999999523162842</x:v>
      </x:c>
      <x:c r="I10" s="16" t="n">
        <x:f>G10/MAX(0.05,H10)</x:f>
        <x:v>13.888889256818805</x:v>
      </x:c>
      <x:c r="J10" s="6" t="str">
        <x:v>Зафиксированная точка попадания, задержка полёта, круг или равновеликий овал.</x:v>
      </x:c>
    </x:row>
    <x:row r="11" ht="43" customHeight="1">
      <x:c r="A11" s="6" t="str">
        <x:v>Notebook</x:v>
      </x:c>
      <x:c r="B11" s="6" t="str">
        <x:v>Spikes</x:v>
      </x:c>
      <x:c r="C11" s="11" t="n">
        <x:v>8</x:v>
      </x:c>
      <x:c r="D11" s="11" t="n">
        <x:v>35</x:v>
      </x:c>
      <x:c r="E11" s="13" t="n">
        <x:v>0.5</x:v>
      </x:c>
      <x:c r="F11" s="13" t="n">
        <x:v>0.699999988079071</x:v>
      </x:c>
      <x:c r="G11" s="13" t="n">
        <x:v>9</x:v>
      </x:c>
      <x:c r="H11" s="13" t="n">
        <x:v>0.6499999761581421</x:v>
      </x:c>
      <x:c r="I11" s="16" t="n">
        <x:f>G11/MAX(0.05,H11)</x:f>
        <x:v>13.84615435402776</x:v>
      </x:c>
      <x:c r="J11" s="6" t="str">
        <x:v>Все цели в радиусе. Поиск использует Radius.</x:v>
      </x:c>
    </x:row>
    <x:row r="12" ht="43" customHeight="1">
      <x:c r="A12" s="6" t="str">
        <x:v>Notebook</x:v>
      </x:c>
      <x:c r="B12" s="6" t="str">
        <x:v>Fan</x:v>
      </x:c>
      <x:c r="C12" s="11" t="n">
        <x:v>70</x:v>
      </x:c>
      <x:c r="D12" s="11" t="n">
        <x:v>55</x:v>
      </x:c>
      <x:c r="E12" s="13" t="n">
        <x:v>1.600000023841858</x:v>
      </x:c>
      <x:c r="F12" s="13" t="n">
        <x:v>6</x:v>
      </x:c>
      <x:c r="G12" s="13" t="n">
        <x:v>10</x:v>
      </x:c>
      <x:c r="H12" s="13" t="n">
        <x:v>1</x:v>
      </x:c>
      <x:c r="I12" s="16" t="n">
        <x:f>G12/MAX(0.05,H12)</x:f>
        <x:v>10</x:v>
      </x:c>
      <x:c r="J12" s="6" t="str">
        <x:v>Конус с конечным числом целей.</x:v>
      </x:c>
    </x:row>
    <x:row r="13" ht="43" customHeight="1">
      <x:c r="A13" s="6" t="str">
        <x:v>Notebook</x:v>
      </x:c>
      <x:c r="B13" s="6" t="str">
        <x:v>Ricochet</x:v>
      </x:c>
      <x:c r="C13" s="11" t="n">
        <x:v>65</x:v>
      </x:c>
      <x:c r="D13" s="11" t="n">
        <x:v>55</x:v>
      </x:c>
      <x:c r="E13" s="13" t="n">
        <x:v>1.600000023841858</x:v>
      </x:c>
      <x:c r="F13" s="13" t="n">
        <x:v>10</x:v>
      </x:c>
      <x:c r="G13" s="13" t="n">
        <x:v>12</x:v>
      </x:c>
      <x:c r="H13" s="13" t="n">
        <x:v>0.8500000238418579</x:v>
      </x:c>
      <x:c r="I13" s="16" t="n">
        <x:f>G13/MAX(0.05,H13)</x:f>
        <x:v>14.117646662834204</x:v>
      </x:c>
      <x:c r="J13" s="6" t="str">
        <x:v>Цепочка соседних целей без повторного попадания в одну цель.</x:v>
      </x:c>
    </x:row>
    <x:row r="14" ht="43" customHeight="1">
      <x:c r="A14" s="6" t="str">
        <x:v>Notebook</x:v>
      </x:c>
      <x:c r="B14" s="6" t="str">
        <x:v>Stapler</x:v>
      </x:c>
      <x:c r="C14" s="11" t="n">
        <x:v>35</x:v>
      </x:c>
      <x:c r="D14" s="11" t="n">
        <x:v>55</x:v>
      </x:c>
      <x:c r="E14" s="13" t="n">
        <x:v>1.2000000476837158</x:v>
      </x:c>
      <x:c r="F14" s="13" t="n">
        <x:v>9</x:v>
      </x:c>
      <x:c r="G14" s="13" t="n">
        <x:v>4</x:v>
      </x:c>
      <x:c r="H14" s="13" t="n">
        <x:v>0.6499999761581421</x:v>
      </x:c>
      <x:c r="I14" s="16" t="n">
        <x:f>G14/MAX(0.05,H14)</x:f>
        <x:v>6.153846379567894</x:v>
      </x:c>
      <x:c r="J14" s="6" t="str">
        <x:v>Собственное замедление действует отдельно от картриджа.</x:v>
      </x:c>
    </x:row>
    <x:row r="15" ht="43" customHeight="1">
      <x:c r="A15" s="6" t="str">
        <x:v>Notebook</x:v>
      </x:c>
      <x:c r="B15" s="6" t="str">
        <x:v>Blotter</x:v>
      </x:c>
      <x:c r="C15" s="11" t="n">
        <x:v>30</x:v>
      </x:c>
      <x:c r="D15" s="11" t="n">
        <x:v>55</x:v>
      </x:c>
      <x:c r="E15" s="13" t="n">
        <x:v>1.2000000476837158</x:v>
      </x:c>
      <x:c r="F15" s="13" t="n">
        <x:v>9</x:v>
      </x:c>
      <x:c r="G15" s="13" t="n">
        <x:v>0</x:v>
      </x:c>
      <x:c r="H15" s="13" t="n">
        <x:v>2</x:v>
      </x:c>
      <x:c r="I15" s="13" t="str">
        <x:v>не применяется</x:v>
      </x:c>
      <x:c r="J15" s="6" t="str">
        <x:v>Очищает кляксы. Урон врагам отсутствует. Цикл и цена не связаны с ручной очисткой.</x:v>
      </x:c>
    </x:row>
    <x:row r="16" ht="43" customHeight="1">
      <x:c r="A16" s="6" t="str">
        <x:v>Target</x:v>
      </x:c>
      <x:c r="B16" s="6" t="str">
        <x:v>Wall</x:v>
      </x:c>
      <x:c r="C16" s="11" t="n">
        <x:v>3</x:v>
      </x:c>
      <x:c r="D16" s="11" t="n">
        <x:v>65</x:v>
      </x:c>
      <x:c r="E16" s="13" t="n">
        <x:v>0.3499999940395355</x:v>
      </x:c>
      <x:c r="F16" s="13" t="n">
        <x:v>0</x:v>
      </x:c>
      <x:c r="G16" s="13" t="n">
        <x:v>0</x:v>
      </x:c>
      <x:c r="H16" s="13" t="n">
        <x:v>0.05000000074505806</x:v>
      </x:c>
      <x:c r="I16" s="13" t="str">
        <x:v>не применяется</x:v>
      </x:c>
      <x:c r="J16" s="6" t="str">
        <x:v>Препятствие. Урона не наносит.</x:v>
      </x:c>
    </x:row>
    <x:row r="17" ht="43" customHeight="1">
      <x:c r="A17" s="6" t="str">
        <x:v>Target</x:v>
      </x:c>
      <x:c r="B17" s="6" t="str">
        <x:v>Gun</x:v>
      </x:c>
      <x:c r="C17" s="11" t="n">
        <x:v>40</x:v>
      </x:c>
      <x:c r="D17" s="11" t="n">
        <x:v>55</x:v>
      </x:c>
      <x:c r="E17" s="13" t="n">
        <x:v>1.399999976158142</x:v>
      </x:c>
      <x:c r="F17" s="13" t="n">
        <x:v>11</x:v>
      </x:c>
      <x:c r="G17" s="13" t="n">
        <x:v>12</x:v>
      </x:c>
      <x:c r="H17" s="13" t="n">
        <x:v>0.41999998688697815</x:v>
      </x:c>
      <x:c r="I17" s="16" t="n">
        <x:f>G17/MAX(0.05,H17)</x:f>
        <x:v>28.571429463470903</x:v>
      </x:c>
      <x:c r="J17" s="6" t="str">
        <x:v>Одна цель.</x:v>
      </x:c>
    </x:row>
    <x:row r="18" ht="43" customHeight="1">
      <x:c r="A18" s="6" t="str">
        <x:v>Target</x:v>
      </x:c>
      <x:c r="B18" s="6" t="str">
        <x:v>Piercer</x:v>
      </x:c>
      <x:c r="C18" s="11" t="n">
        <x:v>65</x:v>
      </x:c>
      <x:c r="D18" s="11" t="n">
        <x:v>50</x:v>
      </x:c>
      <x:c r="E18" s="13" t="n">
        <x:v>1.899999976158142</x:v>
      </x:c>
      <x:c r="F18" s="13" t="n">
        <x:v>14</x:v>
      </x:c>
      <x:c r="G18" s="13" t="n">
        <x:v>18</x:v>
      </x:c>
      <x:c r="H18" s="13" t="n">
        <x:v>1.0499999523162842</x:v>
      </x:c>
      <x:c r="I18" s="16" t="n">
        <x:f>G18/MAX(0.05,H18)</x:f>
        <x:v>17.142857921366826</x:v>
      </x:c>
      <x:c r="J18" s="6" t="str">
        <x:v>Линия. Radius — полуширина. MaxPierce — конечный предел целей.</x:v>
      </x:c>
    </x:row>
    <x:row r="19" ht="43" customHeight="1">
      <x:c r="A19" s="6" t="str">
        <x:v>Target</x:v>
      </x:c>
      <x:c r="B19" s="6" t="str">
        <x:v>Mortar</x:v>
      </x:c>
      <x:c r="C19" s="11" t="n">
        <x:v>90</x:v>
      </x:c>
      <x:c r="D19" s="11" t="n">
        <x:v>60</x:v>
      </x:c>
      <x:c r="E19" s="13" t="n">
        <x:v>2.4000000953674316</x:v>
      </x:c>
      <x:c r="F19" s="13" t="n">
        <x:v>16</x:v>
      </x:c>
      <x:c r="G19" s="13" t="n">
        <x:v>25</x:v>
      </x:c>
      <x:c r="H19" s="13" t="n">
        <x:v>1.7999999523162842</x:v>
      </x:c>
      <x:c r="I19" s="16" t="n">
        <x:f>G19/MAX(0.05,H19)</x:f>
        <x:v>13.888889256818805</x:v>
      </x:c>
      <x:c r="J19" s="6" t="str">
        <x:v>Зафиксированная точка попадания, задержка полёта, круг или равновеликий овал.</x:v>
      </x:c>
    </x:row>
    <x:row r="20" ht="43" customHeight="1">
      <x:c r="A20" s="6" t="str">
        <x:v>Target</x:v>
      </x:c>
      <x:c r="B20" s="6" t="str">
        <x:v>Spikes</x:v>
      </x:c>
      <x:c r="C20" s="11" t="n">
        <x:v>8</x:v>
      </x:c>
      <x:c r="D20" s="11" t="n">
        <x:v>35</x:v>
      </x:c>
      <x:c r="E20" s="13" t="n">
        <x:v>0.5</x:v>
      </x:c>
      <x:c r="F20" s="13" t="n">
        <x:v>0.699999988079071</x:v>
      </x:c>
      <x:c r="G20" s="13" t="n">
        <x:v>9</x:v>
      </x:c>
      <x:c r="H20" s="13" t="n">
        <x:v>0.6499999761581421</x:v>
      </x:c>
      <x:c r="I20" s="16" t="n">
        <x:f>G20/MAX(0.05,H20)</x:f>
        <x:v>13.84615435402776</x:v>
      </x:c>
      <x:c r="J20" s="6" t="str">
        <x:v>Все цели в радиусе. Поиск использует Radius.</x:v>
      </x:c>
    </x:row>
    <x:row r="21" ht="43" customHeight="1">
      <x:c r="A21" s="6" t="str">
        <x:v>Target</x:v>
      </x:c>
      <x:c r="B21" s="6" t="str">
        <x:v>Fan</x:v>
      </x:c>
      <x:c r="C21" s="11" t="n">
        <x:v>70</x:v>
      </x:c>
      <x:c r="D21" s="11" t="n">
        <x:v>55</x:v>
      </x:c>
      <x:c r="E21" s="13" t="n">
        <x:v>1.600000023841858</x:v>
      </x:c>
      <x:c r="F21" s="13" t="n">
        <x:v>6</x:v>
      </x:c>
      <x:c r="G21" s="13" t="n">
        <x:v>10</x:v>
      </x:c>
      <x:c r="H21" s="13" t="n">
        <x:v>1</x:v>
      </x:c>
      <x:c r="I21" s="16" t="n">
        <x:f>G21/MAX(0.05,H21)</x:f>
        <x:v>10</x:v>
      </x:c>
      <x:c r="J21" s="6" t="str">
        <x:v>Конус с конечным числом целей.</x:v>
      </x:c>
    </x:row>
    <x:row r="22" ht="43" customHeight="1">
      <x:c r="A22" s="6" t="str">
        <x:v>Target</x:v>
      </x:c>
      <x:c r="B22" s="6" t="str">
        <x:v>Ricochet</x:v>
      </x:c>
      <x:c r="C22" s="11" t="n">
        <x:v>65</x:v>
      </x:c>
      <x:c r="D22" s="11" t="n">
        <x:v>55</x:v>
      </x:c>
      <x:c r="E22" s="13" t="n">
        <x:v>1.600000023841858</x:v>
      </x:c>
      <x:c r="F22" s="13" t="n">
        <x:v>10</x:v>
      </x:c>
      <x:c r="G22" s="13" t="n">
        <x:v>12</x:v>
      </x:c>
      <x:c r="H22" s="13" t="n">
        <x:v>0.8500000238418579</x:v>
      </x:c>
      <x:c r="I22" s="16" t="n">
        <x:f>G22/MAX(0.05,H22)</x:f>
        <x:v>14.117646662834204</x:v>
      </x:c>
      <x:c r="J22" s="6" t="str">
        <x:v>Цепочка соседних целей без повторного попадания в одну цель.</x:v>
      </x:c>
    </x:row>
    <x:row r="23" ht="43" customHeight="1">
      <x:c r="A23" s="6" t="str">
        <x:v>Target</x:v>
      </x:c>
      <x:c r="B23" s="6" t="str">
        <x:v>Stapler</x:v>
      </x:c>
      <x:c r="C23" s="11" t="n">
        <x:v>35</x:v>
      </x:c>
      <x:c r="D23" s="11" t="n">
        <x:v>55</x:v>
      </x:c>
      <x:c r="E23" s="13" t="n">
        <x:v>1.2000000476837158</x:v>
      </x:c>
      <x:c r="F23" s="13" t="n">
        <x:v>9</x:v>
      </x:c>
      <x:c r="G23" s="13" t="n">
        <x:v>4</x:v>
      </x:c>
      <x:c r="H23" s="13" t="n">
        <x:v>0.6499999761581421</x:v>
      </x:c>
      <x:c r="I23" s="16" t="n">
        <x:f>G23/MAX(0.05,H23)</x:f>
        <x:v>6.153846379567894</x:v>
      </x:c>
      <x:c r="J23" s="6" t="str">
        <x:v>Собственное замедление действует отдельно от картриджа.</x:v>
      </x:c>
    </x:row>
    <x:row r="24" ht="43" customHeight="1">
      <x:c r="A24" s="6" t="str">
        <x:v>Target</x:v>
      </x:c>
      <x:c r="B24" s="6" t="str">
        <x:v>Blotter</x:v>
      </x:c>
      <x:c r="C24" s="11" t="n">
        <x:v>30</x:v>
      </x:c>
      <x:c r="D24" s="11" t="n">
        <x:v>55</x:v>
      </x:c>
      <x:c r="E24" s="13" t="n">
        <x:v>1.2000000476837158</x:v>
      </x:c>
      <x:c r="F24" s="13" t="n">
        <x:v>9</x:v>
      </x:c>
      <x:c r="G24" s="13" t="n">
        <x:v>0</x:v>
      </x:c>
      <x:c r="H24" s="13" t="n">
        <x:v>2</x:v>
      </x:c>
      <x:c r="I24" s="13" t="str">
        <x:v>не применяется</x:v>
      </x:c>
      <x:c r="J24" s="6" t="str">
        <x:v>Очищает кляксы. Урон врагам отсутствует. Цикл и цена не связаны с ручной очисткой.</x:v>
      </x:c>
    </x:row>
  </x:sheetData>
  <x:pageMargins left="0.7" right="0.7" top="0.75" bottom="0.75" header="0.3" footer="0.3"/>
  <x:tableParts count="1">
    <x:tablePart xmlns:r="http://schemas.openxmlformats.org/officeDocument/2006/relationships" r:id="R013672b8e7df4a98"/>
  </x:tableParts>
</x:worksheet>
</file>

<file path=xl/worksheets/sheet4.xml><?xml version="1.0" encoding="utf-8"?>
<x:worksheet xmlns:x="http://schemas.openxmlformats.org/spreadsheetml/2006/main">
  <x:sheetPr>
    <x:tabColor rgb="FFBBC8D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5" hidden="0" customWidth="1"/>
    <x:col min="4" max="4" width="18" hidden="0" customWidth="1"/>
    <x:col min="5" max="5" width="18" hidden="0" customWidth="1"/>
    <x:col min="6" max="6" width="12" hidden="0" customWidth="1"/>
    <x:col min="7" max="7" width="18" hidden="0" customWidth="1"/>
    <x:col min="8" max="8" width="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Каталог деталей мастерской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tr">
        <x:v>Открытие оплачивается золотом один раз. Постройка каждого экземпляра оплачивается штрихами отдельно.</x:v>
      </x:c>
      <x:c r="B4" s="4"/>
      <x:c r="C4" s="4"/>
      <x:c r="D4" s="4"/>
      <x:c r="E4" s="4"/>
      <x:c r="F4" s="4"/>
      <x:c r="G4" s="4"/>
      <x:c r="H4" s="4"/>
    </x:row>
    <x:row r="6" ht="40" customHeight="1">
      <x:c r="A6" s="9" t="str">
        <x:v>Пресет</x:v>
      </x:c>
      <x:c r="B6" s="9" t="str">
        <x:v>Деталь</x:v>
      </x:c>
      <x:c r="C6" s="9" t="str">
        <x:v>Устойчивый ID</x:v>
      </x:c>
      <x:c r="D6" s="9" t="str">
        <x:v>Тип</x:v>
      </x:c>
      <x:c r="E6" s="9" t="str">
        <x:v>Открыта сразу</x:v>
      </x:c>
      <x:c r="F6" s="9" t="str">
        <x:v>Золото</x:v>
      </x:c>
      <x:c r="G6" s="9" t="str">
        <x:v>Крепление</x:v>
      </x:c>
      <x:c r="H6" s="9" t="str">
        <x:v>Описание</x:v>
      </x:c>
    </x:row>
    <x:row r="7" ht="58" customHeight="1">
      <x:c r="A7" s="6" t="str">
        <x:v>Notebook</x:v>
      </x:c>
      <x:c r="B7" s="6" t="str">
        <x:v>Обычное основание</x:v>
      </x:c>
      <x:c r="C7" s="6" t="str">
        <x:v>chassis.standard</x:v>
      </x:c>
      <x:c r="D7" s="6" t="str">
        <x:v>Standard</x:v>
      </x:c>
      <x:c r="E7" s="6" t="str">
        <x:v>Да</x:v>
      </x:c>
      <x:c r="F7" s="11" t="n">
        <x:v>0</x:v>
      </x:c>
      <x:c r="G7" s="6" t="str"/>
      <x:c r="H7" s="6" t="str">
        <x:v>Два крепления для деталей с общей ограниченной нагрузкой.</x:v>
      </x:c>
    </x:row>
    <x:row r="8" ht="58" customHeight="1">
      <x:c r="A8" s="6" t="str">
        <x:v>Notebook</x:v>
      </x:c>
      <x:c r="B8" s="6" t="str">
        <x:v>Пулемёт</x:v>
      </x:c>
      <x:c r="C8" s="6" t="str">
        <x:v>weapon.gun</x:v>
      </x:c>
      <x:c r="D8" s="6" t="str">
        <x:v>Gun</x:v>
      </x:c>
      <x:c r="E8" s="6" t="str">
        <x:v>Да</x:v>
      </x:c>
      <x:c r="F8" s="11" t="n">
        <x:v>0</x:v>
      </x:c>
      <x:c r="G8" s="6" t="str">
        <x:v>Боевое</x:v>
      </x:c>
      <x:c r="H8" s="6" t="str">
        <x:v>Частый одиночный огонь. Каждое попадание поражает одну цель.</x:v>
      </x:c>
    </x:row>
    <x:row r="9" ht="58" customHeight="1">
      <x:c r="A9" s="6" t="str">
        <x:v>Notebook</x:v>
      </x:c>
      <x:c r="B9" s="6" t="str">
        <x:v>Пробивающая пушка</x:v>
      </x:c>
      <x:c r="C9" s="6" t="str">
        <x:v>weapon.piercer</x:v>
      </x:c>
      <x:c r="D9" s="6" t="str">
        <x:v>Piercer</x:v>
      </x:c>
      <x:c r="E9" s="6" t="str">
        <x:v>Да</x:v>
      </x:c>
      <x:c r="F9" s="11" t="n">
        <x:v>0</x:v>
      </x:c>
      <x:c r="G9" s="6" t="str">
        <x:v>Боевое</x:v>
      </x:c>
      <x:c r="H9" s="6" t="str">
        <x:v>Линейный выстрел поражает конечное число целей; защита учитывается.</x:v>
      </x:c>
    </x:row>
    <x:row r="10" ht="58" customHeight="1">
      <x:c r="A10" s="6" t="str">
        <x:v>Notebook</x:v>
      </x:c>
      <x:c r="B10" s="6" t="str">
        <x:v>Мортира</x:v>
      </x:c>
      <x:c r="C10" s="6" t="str">
        <x:v>weapon.mortar</x:v>
      </x:c>
      <x:c r="D10" s="6" t="str">
        <x:v>Mortar</x:v>
      </x:c>
      <x:c r="E10" s="6" t="str">
        <x:v>Да</x:v>
      </x:c>
      <x:c r="F10" s="11" t="n">
        <x:v>0</x:v>
      </x:c>
      <x:c r="G10" s="6" t="str">
        <x:v>Боевое</x:v>
      </x:c>
      <x:c r="H10" s="6" t="str">
        <x:v>Удар по зафиксированной точке с задержкой. Быстрая цель может уйти.</x:v>
      </x:c>
    </x:row>
    <x:row r="11" ht="58" customHeight="1">
      <x:c r="A11" s="6" t="str">
        <x:v>Notebook</x:v>
      </x:c>
      <x:c r="B11" s="6" t="str">
        <x:v>Бронепластины</x:v>
      </x:c>
      <x:c r="C11" s="6" t="str">
        <x:v>module.armor</x:v>
      </x:c>
      <x:c r="D11" s="6" t="str">
        <x:v>Armor</x:v>
      </x:c>
      <x:c r="E11" s="6" t="str">
        <x:v>Да</x:v>
      </x:c>
      <x:c r="F11" s="11" t="n">
        <x:v>0</x:v>
      </x:c>
      <x:c r="G11" s="6" t="str"/>
      <x:c r="H11" s="6" t="str">
        <x:v>Повышают стойкость основания к вражескому урону.</x:v>
      </x:c>
    </x:row>
    <x:row r="12" ht="58" customHeight="1">
      <x:c r="A12" s="6" t="str">
        <x:v>Notebook</x:v>
      </x:c>
      <x:c r="B12" s="6" t="str">
        <x:v>Тяжёлое основание</x:v>
      </x:c>
      <x:c r="C12" s="6" t="str">
        <x:v>chassis.heavy</x:v>
      </x:c>
      <x:c r="D12" s="6" t="str">
        <x:v>Heavy</x:v>
      </x:c>
      <x:c r="E12" s="6" t="str">
        <x:v>Нет</x:v>
      </x:c>
      <x:c r="F12" s="11" t="n">
        <x:v>90</x:v>
      </x:c>
      <x:c r="G12" s="6" t="str"/>
      <x:c r="H12" s="6" t="str">
        <x:v>Вмещает большую нагрузку; дороже и дольше строится.</x:v>
      </x:c>
    </x:row>
    <x:row r="13" ht="58" customHeight="1">
      <x:c r="A13" s="6" t="str">
        <x:v>Notebook</x:v>
      </x:c>
      <x:c r="B13" s="6" t="str">
        <x:v>Улучшенная подача</x:v>
      </x:c>
      <x:c r="C13" s="6" t="str">
        <x:v>module.feed</x:v>
      </x:c>
      <x:c r="D13" s="6" t="str">
        <x:v>Feed</x:v>
      </x:c>
      <x:c r="E13" s="6" t="str">
        <x:v>Нет</x:v>
      </x:c>
      <x:c r="F13" s="11" t="n">
        <x:v>60</x:v>
      </x:c>
      <x:c r="G13" s="6" t="str"/>
      <x:c r="H13" s="6" t="str">
        <x:v>Увеличивает общую производительность подачи к оружию.</x:v>
      </x:c>
    </x:row>
    <x:row r="14" ht="58" customHeight="1">
      <x:c r="A14" s="6" t="str">
        <x:v>Notebook</x:v>
      </x:c>
      <x:c r="B14" s="6" t="str">
        <x:v>Быстрое наведение</x:v>
      </x:c>
      <x:c r="C14" s="6" t="str">
        <x:v>module.tracking</x:v>
      </x:c>
      <x:c r="D14" s="6" t="str">
        <x:v>Tracking</x:v>
      </x:c>
      <x:c r="E14" s="6" t="str">
        <x:v>Нет</x:v>
      </x:c>
      <x:c r="F14" s="11" t="n">
        <x:v>60</x:v>
      </x:c>
      <x:c r="G14" s="6" t="str"/>
      <x:c r="H14" s="6" t="str">
        <x:v>Сокращает время захвата новой цели.</x:v>
      </x:c>
    </x:row>
    <x:row r="15" ht="58" customHeight="1">
      <x:c r="A15" s="6" t="str">
        <x:v>Notebook</x:v>
      </x:c>
      <x:c r="B15" s="6" t="str">
        <x:v>Веерный ствол</x:v>
      </x:c>
      <x:c r="C15" s="6" t="str">
        <x:v>weapon.fan</x:v>
      </x:c>
      <x:c r="D15" s="6" t="str">
        <x:v>Fan</x:v>
      </x:c>
      <x:c r="E15" s="6" t="str">
        <x:v>Нет</x:v>
      </x:c>
      <x:c r="F15" s="11" t="n">
        <x:v>60</x:v>
      </x:c>
      <x:c r="G15" s="6" t="str">
        <x:v>Боевое</x:v>
      </x:c>
      <x:c r="H15" s="6" t="str">
        <x:v>Короткий широкий конус с ограниченным числом целей. Требует близкого размещения.</x:v>
      </x:c>
    </x:row>
    <x:row r="16" ht="58" customHeight="1">
      <x:c r="A16" s="6" t="str">
        <x:v>Notebook</x:v>
      </x:c>
      <x:c r="B16" s="6" t="str">
        <x:v>Рикошет</x:v>
      </x:c>
      <x:c r="C16" s="6" t="str">
        <x:v>weapon.ricochet</x:v>
      </x:c>
      <x:c r="D16" s="6" t="str">
        <x:v>Ricochet</x:v>
      </x:c>
      <x:c r="E16" s="6" t="str">
        <x:v>Нет</x:v>
      </x:c>
      <x:c r="F16" s="11" t="n">
        <x:v>60</x:v>
      </x:c>
      <x:c r="G16" s="6" t="str">
        <x:v>Боевое</x:v>
      </x:c>
      <x:c r="H16" s="6" t="str">
        <x:v>Цепочка попаданий между близкими целями. Каждая цель поражается один раз; защита учитывается.</x:v>
      </x:c>
    </x:row>
    <x:row r="17" ht="58" customHeight="1">
      <x:c r="A17" s="6" t="str">
        <x:v>Notebook</x:v>
      </x:c>
      <x:c r="B17" s="6" t="str">
        <x:v>Степлер</x:v>
      </x:c>
      <x:c r="C17" s="6" t="str">
        <x:v>weapon.stapler</x:v>
      </x:c>
      <x:c r="D17" s="6" t="str">
        <x:v>Stapler</x:v>
      </x:c>
      <x:c r="E17" s="6" t="str">
        <x:v>Нет</x:v>
      </x:c>
      <x:c r="F17" s="11" t="n">
        <x:v>40</x:v>
      </x:c>
      <x:c r="G17" s="6" t="str">
        <x:v>Боевое</x:v>
      </x:c>
      <x:c r="H17" s="6" t="str">
        <x:v>Небольшой урон и собственное замедление цели. С синими чернилами действует сильнейшее замедление.</x:v>
      </x:c>
    </x:row>
    <x:row r="18" ht="58" customHeight="1">
      <x:c r="A18" s="6" t="str">
        <x:v>Notebook</x:v>
      </x:c>
      <x:c r="B18" s="6" t="str">
        <x:v>Промокашка</x:v>
      </x:c>
      <x:c r="C18" s="6" t="str">
        <x:v>weapon.blotter</x:v>
      </x:c>
      <x:c r="D18" s="6" t="str">
        <x:v>Blotter</x:v>
      </x:c>
      <x:c r="E18" s="6" t="str">
        <x:v>Нет</x:v>
      </x:c>
      <x:c r="F18" s="11" t="n">
        <x:v>40</x:v>
      </x:c>
      <x:c r="G18" s="6" t="str">
        <x:v>Сервисное</x:v>
      </x:c>
      <x:c r="H18" s="6" t="str">
        <x:v>Автоматически очищает кляксы в выбранной области. Не наносит урон врагам и действует отдельно от ручной промокашки.</x:v>
      </x:c>
    </x:row>
    <x:row r="19" ht="58" customHeight="1">
      <x:c r="A19" s="6" t="str">
        <x:v>Notebook</x:v>
      </x:c>
      <x:c r="B19" s="6" t="str">
        <x:v>Направляющая</x:v>
      </x:c>
      <x:c r="C19" s="6" t="str">
        <x:v>module.rail</x:v>
      </x:c>
      <x:c r="D19" s="6" t="str">
        <x:v>Rail</x:v>
      </x:c>
      <x:c r="E19" s="6" t="str">
        <x:v>Нет</x:v>
      </x:c>
      <x:c r="F19" s="11" t="n">
        <x:v>60</x:v>
      </x:c>
      <x:c r="G19" s="6" t="str"/>
      <x:c r="H19" s="6" t="str">
        <x:v>Увеличивает дальность установленных деталей, но увеличивает интервал между действиями. Занимает нагрузку основания.</x:v>
      </x:c>
    </x:row>
    <x:row r="20" ht="58" customHeight="1">
      <x:c r="A20" s="6" t="str">
        <x:v>Target</x:v>
      </x:c>
      <x:c r="B20" s="6" t="str">
        <x:v>Обычное основание</x:v>
      </x:c>
      <x:c r="C20" s="6" t="str">
        <x:v>chassis.standard</x:v>
      </x:c>
      <x:c r="D20" s="6" t="str">
        <x:v>Standard</x:v>
      </x:c>
      <x:c r="E20" s="6" t="str">
        <x:v>Да</x:v>
      </x:c>
      <x:c r="F20" s="11" t="n">
        <x:v>0</x:v>
      </x:c>
      <x:c r="G20" s="6" t="str"/>
      <x:c r="H20" s="6" t="str">
        <x:v>Два крепления для деталей с общей ограниченной нагрузкой.</x:v>
      </x:c>
    </x:row>
    <x:row r="21" ht="58" customHeight="1">
      <x:c r="A21" s="6" t="str">
        <x:v>Target</x:v>
      </x:c>
      <x:c r="B21" s="6" t="str">
        <x:v>Пулемёт</x:v>
      </x:c>
      <x:c r="C21" s="6" t="str">
        <x:v>weapon.gun</x:v>
      </x:c>
      <x:c r="D21" s="6" t="str">
        <x:v>Gun</x:v>
      </x:c>
      <x:c r="E21" s="6" t="str">
        <x:v>Да</x:v>
      </x:c>
      <x:c r="F21" s="11" t="n">
        <x:v>0</x:v>
      </x:c>
      <x:c r="G21" s="6" t="str">
        <x:v>Боевое</x:v>
      </x:c>
      <x:c r="H21" s="6" t="str">
        <x:v>Частый одиночный огонь. Каждое попадание поражает одну цель.</x:v>
      </x:c>
    </x:row>
    <x:row r="22" ht="58" customHeight="1">
      <x:c r="A22" s="6" t="str">
        <x:v>Target</x:v>
      </x:c>
      <x:c r="B22" s="6" t="str">
        <x:v>Пробивающая пушка</x:v>
      </x:c>
      <x:c r="C22" s="6" t="str">
        <x:v>weapon.piercer</x:v>
      </x:c>
      <x:c r="D22" s="6" t="str">
        <x:v>Piercer</x:v>
      </x:c>
      <x:c r="E22" s="6" t="str">
        <x:v>Да</x:v>
      </x:c>
      <x:c r="F22" s="11" t="n">
        <x:v>0</x:v>
      </x:c>
      <x:c r="G22" s="6" t="str">
        <x:v>Боевое</x:v>
      </x:c>
      <x:c r="H22" s="6" t="str">
        <x:v>Линейный выстрел поражает конечное число целей; защита учитывается.</x:v>
      </x:c>
    </x:row>
    <x:row r="23" ht="58" customHeight="1">
      <x:c r="A23" s="6" t="str">
        <x:v>Target</x:v>
      </x:c>
      <x:c r="B23" s="6" t="str">
        <x:v>Мортира</x:v>
      </x:c>
      <x:c r="C23" s="6" t="str">
        <x:v>weapon.mortar</x:v>
      </x:c>
      <x:c r="D23" s="6" t="str">
        <x:v>Mortar</x:v>
      </x:c>
      <x:c r="E23" s="6" t="str">
        <x:v>Да</x:v>
      </x:c>
      <x:c r="F23" s="11" t="n">
        <x:v>0</x:v>
      </x:c>
      <x:c r="G23" s="6" t="str">
        <x:v>Боевое</x:v>
      </x:c>
      <x:c r="H23" s="6" t="str">
        <x:v>Удар по зафиксированной точке с задержкой. Быстрая цель может уйти.</x:v>
      </x:c>
    </x:row>
    <x:row r="24" ht="58" customHeight="1">
      <x:c r="A24" s="6" t="str">
        <x:v>Target</x:v>
      </x:c>
      <x:c r="B24" s="6" t="str">
        <x:v>Бронепластины</x:v>
      </x:c>
      <x:c r="C24" s="6" t="str">
        <x:v>module.armor</x:v>
      </x:c>
      <x:c r="D24" s="6" t="str">
        <x:v>Armor</x:v>
      </x:c>
      <x:c r="E24" s="6" t="str">
        <x:v>Да</x:v>
      </x:c>
      <x:c r="F24" s="11" t="n">
        <x:v>0</x:v>
      </x:c>
      <x:c r="G24" s="6" t="str"/>
      <x:c r="H24" s="6" t="str">
        <x:v>Повышают стойкость основания к вражескому урону.</x:v>
      </x:c>
    </x:row>
    <x:row r="25" ht="58" customHeight="1">
      <x:c r="A25" s="6" t="str">
        <x:v>Target</x:v>
      </x:c>
      <x:c r="B25" s="6" t="str">
        <x:v>Тяжёлое основание</x:v>
      </x:c>
      <x:c r="C25" s="6" t="str">
        <x:v>chassis.heavy</x:v>
      </x:c>
      <x:c r="D25" s="6" t="str">
        <x:v>Heavy</x:v>
      </x:c>
      <x:c r="E25" s="6" t="str">
        <x:v>Нет</x:v>
      </x:c>
      <x:c r="F25" s="11" t="n">
        <x:v>90</x:v>
      </x:c>
      <x:c r="G25" s="6" t="str"/>
      <x:c r="H25" s="6" t="str">
        <x:v>Вмещает большую нагрузку; дороже и дольше строится.</x:v>
      </x:c>
    </x:row>
    <x:row r="26" ht="58" customHeight="1">
      <x:c r="A26" s="6" t="str">
        <x:v>Target</x:v>
      </x:c>
      <x:c r="B26" s="6" t="str">
        <x:v>Улучшенная подача</x:v>
      </x:c>
      <x:c r="C26" s="6" t="str">
        <x:v>module.feed</x:v>
      </x:c>
      <x:c r="D26" s="6" t="str">
        <x:v>Feed</x:v>
      </x:c>
      <x:c r="E26" s="6" t="str">
        <x:v>Нет</x:v>
      </x:c>
      <x:c r="F26" s="11" t="n">
        <x:v>60</x:v>
      </x:c>
      <x:c r="G26" s="6" t="str"/>
      <x:c r="H26" s="6" t="str">
        <x:v>Увеличивает общую производительность подачи к оружию.</x:v>
      </x:c>
    </x:row>
    <x:row r="27" ht="58" customHeight="1">
      <x:c r="A27" s="6" t="str">
        <x:v>Target</x:v>
      </x:c>
      <x:c r="B27" s="6" t="str">
        <x:v>Быстрое наведение</x:v>
      </x:c>
      <x:c r="C27" s="6" t="str">
        <x:v>module.tracking</x:v>
      </x:c>
      <x:c r="D27" s="6" t="str">
        <x:v>Tracking</x:v>
      </x:c>
      <x:c r="E27" s="6" t="str">
        <x:v>Нет</x:v>
      </x:c>
      <x:c r="F27" s="11" t="n">
        <x:v>60</x:v>
      </x:c>
      <x:c r="G27" s="6" t="str"/>
      <x:c r="H27" s="6" t="str">
        <x:v>Сокращает время захвата новой цели.</x:v>
      </x:c>
    </x:row>
    <x:row r="28" ht="58" customHeight="1">
      <x:c r="A28" s="6" t="str">
        <x:v>Target</x:v>
      </x:c>
      <x:c r="B28" s="6" t="str">
        <x:v>Веерный ствол</x:v>
      </x:c>
      <x:c r="C28" s="6" t="str">
        <x:v>weapon.fan</x:v>
      </x:c>
      <x:c r="D28" s="6" t="str">
        <x:v>Fan</x:v>
      </x:c>
      <x:c r="E28" s="6" t="str">
        <x:v>Нет</x:v>
      </x:c>
      <x:c r="F28" s="11" t="n">
        <x:v>60</x:v>
      </x:c>
      <x:c r="G28" s="6" t="str">
        <x:v>Боевое</x:v>
      </x:c>
      <x:c r="H28" s="6" t="str">
        <x:v>Короткий широкий конус с ограниченным числом целей. Требует близкого размещения.</x:v>
      </x:c>
    </x:row>
    <x:row r="29" ht="58" customHeight="1">
      <x:c r="A29" s="6" t="str">
        <x:v>Target</x:v>
      </x:c>
      <x:c r="B29" s="6" t="str">
        <x:v>Рикошет</x:v>
      </x:c>
      <x:c r="C29" s="6" t="str">
        <x:v>weapon.ricochet</x:v>
      </x:c>
      <x:c r="D29" s="6" t="str">
        <x:v>Ricochet</x:v>
      </x:c>
      <x:c r="E29" s="6" t="str">
        <x:v>Нет</x:v>
      </x:c>
      <x:c r="F29" s="11" t="n">
        <x:v>60</x:v>
      </x:c>
      <x:c r="G29" s="6" t="str">
        <x:v>Боевое</x:v>
      </x:c>
      <x:c r="H29" s="6" t="str">
        <x:v>Цепочка попаданий между близкими целями. Каждая цель поражается один раз; защита учитывается.</x:v>
      </x:c>
    </x:row>
    <x:row r="30" ht="58" customHeight="1">
      <x:c r="A30" s="6" t="str">
        <x:v>Target</x:v>
      </x:c>
      <x:c r="B30" s="6" t="str">
        <x:v>Степлер</x:v>
      </x:c>
      <x:c r="C30" s="6" t="str">
        <x:v>weapon.stapler</x:v>
      </x:c>
      <x:c r="D30" s="6" t="str">
        <x:v>Stapler</x:v>
      </x:c>
      <x:c r="E30" s="6" t="str">
        <x:v>Нет</x:v>
      </x:c>
      <x:c r="F30" s="11" t="n">
        <x:v>40</x:v>
      </x:c>
      <x:c r="G30" s="6" t="str">
        <x:v>Боевое</x:v>
      </x:c>
      <x:c r="H30" s="6" t="str">
        <x:v>Небольшой урон и собственное замедление цели. С синими чернилами действует сильнейшее замедление.</x:v>
      </x:c>
    </x:row>
    <x:row r="31" ht="58" customHeight="1">
      <x:c r="A31" s="6" t="str">
        <x:v>Target</x:v>
      </x:c>
      <x:c r="B31" s="6" t="str">
        <x:v>Промокашка</x:v>
      </x:c>
      <x:c r="C31" s="6" t="str">
        <x:v>weapon.blotter</x:v>
      </x:c>
      <x:c r="D31" s="6" t="str">
        <x:v>Blotter</x:v>
      </x:c>
      <x:c r="E31" s="6" t="str">
        <x:v>Нет</x:v>
      </x:c>
      <x:c r="F31" s="11" t="n">
        <x:v>40</x:v>
      </x:c>
      <x:c r="G31" s="6" t="str">
        <x:v>Сервисное</x:v>
      </x:c>
      <x:c r="H31" s="6" t="str">
        <x:v>Автоматически очищает кляксы в выбранной области. Не наносит урон врагам и действует отдельно от ручной промокашки.</x:v>
      </x:c>
    </x:row>
    <x:row r="32" ht="58" customHeight="1">
      <x:c r="A32" s="6" t="str">
        <x:v>Target</x:v>
      </x:c>
      <x:c r="B32" s="6" t="str">
        <x:v>Направляющая</x:v>
      </x:c>
      <x:c r="C32" s="6" t="str">
        <x:v>module.rail</x:v>
      </x:c>
      <x:c r="D32" s="6" t="str">
        <x:v>Rail</x:v>
      </x:c>
      <x:c r="E32" s="6" t="str">
        <x:v>Нет</x:v>
      </x:c>
      <x:c r="F32" s="11" t="n">
        <x:v>60</x:v>
      </x:c>
      <x:c r="G32" s="6" t="str"/>
      <x:c r="H32" s="6" t="str">
        <x:v>Увеличивает дальность установленных деталей, но увеличивает интервал между действиями. Занимает нагрузку основания.</x:v>
      </x:c>
    </x:row>
  </x:sheetData>
  <x:pageMargins left="0.7" right="0.7" top="0.75" bottom="0.75" header="0.3" footer="0.3"/>
  <x:tableParts count="1">
    <x:tablePart xmlns:r="http://schemas.openxmlformats.org/officeDocument/2006/relationships" r:id="R2bab37a4c5614c74"/>
  </x:tableParts>
</x:worksheet>
</file>

<file path=xl/worksheets/sheet5.xml><?xml version="1.0" encoding="utf-8"?>
<x:worksheet xmlns:x="http://schemas.openxmlformats.org/spreadsheetml/2006/main">
  <x:sheetPr>
    <x:tabColor rgb="FFBBC8D6"/>
  </x:sheetPr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Материалы и противники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2" customHeight="1">
      <x:c r="A4" s="4" t="str">
        <x:v>Все множители относятся к определению соответствующей роли. Target применяет свои переопределения последним.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6" ht="40" customHeight="1">
      <x:c r="A6" s="9" t="str">
        <x:v>Пресет</x:v>
      </x:c>
      <x:c r="B6" s="9" t="str">
        <x:v>Материал</x:v>
      </x:c>
      <x:c r="C6" s="9" t="str">
        <x:v>Цена ×</x:v>
      </x:c>
      <x:c r="D6" s="9" t="str">
        <x:v>HP ×</x:v>
      </x:c>
      <x:c r="E6" s="9" t="str">
        <x:v>Урон ×</x:v>
      </x:c>
      <x:c r="F6" s="9" t="str">
        <x:v>Возврат</x:v>
      </x:c>
      <x:c r="G6" s="9" t="str">
        <x:v>Время ×</x:v>
      </x:c>
    </x:row>
    <x:row r="7" ht="25" customHeight="1">
      <x:c r="A7" s="6" t="str">
        <x:v>Notebook</x:v>
      </x:c>
      <x:c r="B7" s="6" t="str">
        <x:v>Pencil</x:v>
      </x:c>
      <x:c r="C7" s="13" t="n">
        <x:v>1</x:v>
      </x:c>
      <x:c r="D7" s="13" t="n">
        <x:v>1</x:v>
      </x:c>
      <x:c r="E7" s="13" t="n">
        <x:v>1</x:v>
      </x:c>
      <x:c r="F7" s="15" t="n">
        <x:v>0.800000011920929</x:v>
      </x:c>
      <x:c r="G7" s="13" t="n">
        <x:v>1</x:v>
      </x:c>
    </x:row>
    <x:row r="8" ht="25" customHeight="1">
      <x:c r="A8" s="6" t="str">
        <x:v>Notebook</x:v>
      </x:c>
      <x:c r="B8" s="6" t="str">
        <x:v>Ink</x:v>
      </x:c>
      <x:c r="C8" s="13" t="n">
        <x:v>1.7999999523162842</x:v>
      </x:c>
      <x:c r="D8" s="13" t="n">
        <x:v>2.0999999046325684</x:v>
      </x:c>
      <x:c r="E8" s="13" t="n">
        <x:v>1.25</x:v>
      </x:c>
      <x:c r="F8" s="15" t="n">
        <x:v>0.4000000059604645</x:v>
      </x:c>
      <x:c r="G8" s="13" t="n">
        <x:v>1.2999999523162842</x:v>
      </x:c>
    </x:row>
    <x:row r="9" ht="25" customHeight="1">
      <x:c r="A9" s="6" t="str">
        <x:v>Notebook</x:v>
      </x:c>
      <x:c r="B9" s="6" t="str">
        <x:v>Marker</x:v>
      </x:c>
      <x:c r="C9" s="13" t="n">
        <x:v>3.200000047683716</x:v>
      </x:c>
      <x:c r="D9" s="13" t="n">
        <x:v>4.199999809265137</x:v>
      </x:c>
      <x:c r="E9" s="13" t="n">
        <x:v>1.600000023841858</x:v>
      </x:c>
      <x:c r="F9" s="15" t="n">
        <x:v>0.20000000298023224</x:v>
      </x:c>
      <x:c r="G9" s="13" t="n">
        <x:v>1.75</x:v>
      </x:c>
    </x:row>
    <x:row r="10" ht="25" customHeight="1">
      <x:c r="A10" s="6" t="str">
        <x:v>Target</x:v>
      </x:c>
      <x:c r="B10" s="6" t="str">
        <x:v>Pencil</x:v>
      </x:c>
      <x:c r="C10" s="13" t="n">
        <x:v>1</x:v>
      </x:c>
      <x:c r="D10" s="13" t="n">
        <x:v>1</x:v>
      </x:c>
      <x:c r="E10" s="13" t="n">
        <x:v>1</x:v>
      </x:c>
      <x:c r="F10" s="15" t="n">
        <x:v>0.800000011920929</x:v>
      </x:c>
      <x:c r="G10" s="13" t="n">
        <x:v>1</x:v>
      </x:c>
    </x:row>
    <x:row r="11" ht="25" customHeight="1">
      <x:c r="A11" s="6" t="str">
        <x:v>Target</x:v>
      </x:c>
      <x:c r="B11" s="6" t="str">
        <x:v>Ink</x:v>
      </x:c>
      <x:c r="C11" s="13" t="n">
        <x:v>1.7999999523162842</x:v>
      </x:c>
      <x:c r="D11" s="13" t="n">
        <x:v>2.0999999046325684</x:v>
      </x:c>
      <x:c r="E11" s="13" t="n">
        <x:v>1</x:v>
      </x:c>
      <x:c r="F11" s="15" t="n">
        <x:v>0.4000000059604645</x:v>
      </x:c>
      <x:c r="G11" s="13" t="n">
        <x:v>1.2999999523162842</x:v>
      </x:c>
    </x:row>
    <x:row r="12" ht="25" customHeight="1">
      <x:c r="A12" s="6" t="str">
        <x:v>Target</x:v>
      </x:c>
      <x:c r="B12" s="6" t="str">
        <x:v>Marker</x:v>
      </x:c>
      <x:c r="C12" s="13" t="n">
        <x:v>3.200000047683716</x:v>
      </x:c>
      <x:c r="D12" s="13" t="n">
        <x:v>4.199999809265137</x:v>
      </x:c>
      <x:c r="E12" s="13" t="n">
        <x:v>1</x:v>
      </x:c>
      <x:c r="F12" s="15" t="n">
        <x:v>0.20000000298023224</x:v>
      </x:c>
      <x:c r="G12" s="13" t="n">
        <x:v>1.75</x:v>
      </x:c>
    </x:row>
    <x:row r="16" ht="40" customHeight="1">
      <x:c r="A16" s="9" t="str">
        <x:v>Пресет</x:v>
      </x:c>
      <x:c r="B16" s="9" t="str">
        <x:v>Враг</x:v>
      </x:c>
      <x:c r="C16" s="9" t="str">
        <x:v>HP</x:v>
      </x:c>
      <x:c r="D16" s="9" t="str">
        <x:v>Клетки/с</x:v>
      </x:c>
      <x:c r="E16" s="9" t="str">
        <x:v>Урон</x:v>
      </x:c>
      <x:c r="F16" s="9" t="str">
        <x:v>Интервал, с</x:v>
      </x:c>
      <x:c r="G16" s="9" t="str">
        <x:v>Награда</x:v>
      </x:c>
      <x:c r="H16" s="9" t="str">
        <x:v>Строения ×</x:v>
      </x:c>
      <x:c r="I16" s="9" t="str">
        <x:v>Дальность</x:v>
      </x:c>
    </x:row>
    <x:row r="17" ht="25" customHeight="1">
      <x:c r="A17" s="6" t="str">
        <x:v>Notebook</x:v>
      </x:c>
      <x:c r="B17" s="6" t="str">
        <x:v>Doodle</x:v>
      </x:c>
      <x:c r="C17" s="11" t="n">
        <x:v>22</x:v>
      </x:c>
      <x:c r="D17" s="13" t="n">
        <x:v>2.0999999046325684</x:v>
      </x:c>
      <x:c r="E17" s="11" t="n">
        <x:v>6</x:v>
      </x:c>
      <x:c r="F17" s="13" t="n">
        <x:v>1.100000023841858</x:v>
      </x:c>
      <x:c r="G17" s="11" t="n">
        <x:v>1</x:v>
      </x:c>
      <x:c r="H17" s="13" t="n">
        <x:v>1</x:v>
      </x:c>
      <x:c r="I17" s="13" t="n">
        <x:v>12.5</x:v>
      </x:c>
    </x:row>
    <x:row r="18" ht="25" customHeight="1">
      <x:c r="A18" s="6" t="str">
        <x:v>Notebook</x:v>
      </x:c>
      <x:c r="B18" s="6" t="str">
        <x:v>Runner</x:v>
      </x:c>
      <x:c r="C18" s="11" t="n">
        <x:v>14</x:v>
      </x:c>
      <x:c r="D18" s="13" t="n">
        <x:v>3.5999999046325684</x:v>
      </x:c>
      <x:c r="E18" s="11" t="n">
        <x:v>3</x:v>
      </x:c>
      <x:c r="F18" s="13" t="n">
        <x:v>0.800000011920929</x:v>
      </x:c>
      <x:c r="G18" s="11" t="n">
        <x:v>1</x:v>
      </x:c>
      <x:c r="H18" s="13" t="n">
        <x:v>1</x:v>
      </x:c>
      <x:c r="I18" s="13" t="n">
        <x:v>12.5</x:v>
      </x:c>
    </x:row>
    <x:row r="19" ht="25" customHeight="1">
      <x:c r="A19" s="6" t="str">
        <x:v>Notebook</x:v>
      </x:c>
      <x:c r="B19" s="6" t="str">
        <x:v>Gnawer</x:v>
      </x:c>
      <x:c r="C19" s="11" t="n">
        <x:v>95</x:v>
      </x:c>
      <x:c r="D19" s="13" t="n">
        <x:v>1.25</x:v>
      </x:c>
      <x:c r="E19" s="11" t="n">
        <x:v>18</x:v>
      </x:c>
      <x:c r="F19" s="13" t="n">
        <x:v>0.8999999761581421</x:v>
      </x:c>
      <x:c r="G19" s="11" t="n">
        <x:v>3</x:v>
      </x:c>
      <x:c r="H19" s="13" t="n">
        <x:v>1.5</x:v>
      </x:c>
      <x:c r="I19" s="13" t="n">
        <x:v>12.5</x:v>
      </x:c>
    </x:row>
    <x:row r="20" ht="25" customHeight="1">
      <x:c r="A20" s="6" t="str">
        <x:v>Notebook</x:v>
      </x:c>
      <x:c r="B20" s="6" t="str">
        <x:v>Spitter</x:v>
      </x:c>
      <x:c r="C20" s="11" t="n">
        <x:v>35</x:v>
      </x:c>
      <x:c r="D20" s="13" t="n">
        <x:v>1.7000000476837158</x:v>
      </x:c>
      <x:c r="E20" s="11" t="n">
        <x:v>10</x:v>
      </x:c>
      <x:c r="F20" s="13" t="n">
        <x:v>2.4000000953674316</x:v>
      </x:c>
      <x:c r="G20" s="11" t="n">
        <x:v>2</x:v>
      </x:c>
      <x:c r="H20" s="13" t="n">
        <x:v>1</x:v>
      </x:c>
      <x:c r="I20" s="13" t="n">
        <x:v>12.5</x:v>
      </x:c>
    </x:row>
    <x:row r="21" ht="25" customHeight="1">
      <x:c r="A21" s="6" t="str">
        <x:v>Target</x:v>
      </x:c>
      <x:c r="B21" s="6" t="str">
        <x:v>Doodle</x:v>
      </x:c>
      <x:c r="C21" s="11" t="n">
        <x:v>22</x:v>
      </x:c>
      <x:c r="D21" s="13" t="n">
        <x:v>2.0999999046325684</x:v>
      </x:c>
      <x:c r="E21" s="11" t="n">
        <x:v>6</x:v>
      </x:c>
      <x:c r="F21" s="13" t="n">
        <x:v>1.100000023841858</x:v>
      </x:c>
      <x:c r="G21" s="11" t="n">
        <x:v>1</x:v>
      </x:c>
      <x:c r="H21" s="13" t="n">
        <x:v>1</x:v>
      </x:c>
      <x:c r="I21" s="13" t="n">
        <x:v>12.5</x:v>
      </x:c>
    </x:row>
    <x:row r="22" ht="25" customHeight="1">
      <x:c r="A22" s="6" t="str">
        <x:v>Target</x:v>
      </x:c>
      <x:c r="B22" s="6" t="str">
        <x:v>Runner</x:v>
      </x:c>
      <x:c r="C22" s="11" t="n">
        <x:v>14</x:v>
      </x:c>
      <x:c r="D22" s="13" t="n">
        <x:v>3.5999999046325684</x:v>
      </x:c>
      <x:c r="E22" s="11" t="n">
        <x:v>3</x:v>
      </x:c>
      <x:c r="F22" s="13" t="n">
        <x:v>0.800000011920929</x:v>
      </x:c>
      <x:c r="G22" s="11" t="n">
        <x:v>1</x:v>
      </x:c>
      <x:c r="H22" s="13" t="n">
        <x:v>1</x:v>
      </x:c>
      <x:c r="I22" s="13" t="n">
        <x:v>12.5</x:v>
      </x:c>
    </x:row>
    <x:row r="23" ht="25" customHeight="1">
      <x:c r="A23" s="6" t="str">
        <x:v>Target</x:v>
      </x:c>
      <x:c r="B23" s="6" t="str">
        <x:v>Gnawer</x:v>
      </x:c>
      <x:c r="C23" s="11" t="n">
        <x:v>95</x:v>
      </x:c>
      <x:c r="D23" s="13" t="n">
        <x:v>1.25</x:v>
      </x:c>
      <x:c r="E23" s="11" t="n">
        <x:v>18</x:v>
      </x:c>
      <x:c r="F23" s="13" t="n">
        <x:v>0.8999999761581421</x:v>
      </x:c>
      <x:c r="G23" s="11" t="n">
        <x:v>3</x:v>
      </x:c>
      <x:c r="H23" s="13" t="n">
        <x:v>1.5</x:v>
      </x:c>
      <x:c r="I23" s="13" t="n">
        <x:v>12.5</x:v>
      </x:c>
    </x:row>
    <x:row r="24" ht="25" customHeight="1">
      <x:c r="A24" s="6" t="str">
        <x:v>Target</x:v>
      </x:c>
      <x:c r="B24" s="6" t="str">
        <x:v>Spitter</x:v>
      </x:c>
      <x:c r="C24" s="11" t="n">
        <x:v>35</x:v>
      </x:c>
      <x:c r="D24" s="13" t="n">
        <x:v>1.7000000476837158</x:v>
      </x:c>
      <x:c r="E24" s="11" t="n">
        <x:v>10</x:v>
      </x:c>
      <x:c r="F24" s="13" t="n">
        <x:v>2.4000000953674316</x:v>
      </x:c>
      <x:c r="G24" s="11" t="n">
        <x:v>2</x:v>
      </x:c>
      <x:c r="H24" s="13" t="n">
        <x:v>1</x:v>
      </x:c>
      <x:c r="I24" s="13" t="n">
        <x:v>12.5</x:v>
      </x:c>
    </x:row>
    <x:row r="26" ht="22" customHeight="1">
      <x:c r="A26" s="4" t="str">
        <x:v>Специфические параметры плевуна, прорисовки, цвета и разброса скорости приведены в полном словаре «Параметры».</x:v>
      </x:c>
      <x:c r="B26" s="4"/>
      <x:c r="C26" s="4"/>
      <x:c r="D26" s="4"/>
      <x:c r="E26" s="4"/>
      <x:c r="F26" s="4"/>
      <x:c r="G26" s="4"/>
      <x:c r="H26" s="4"/>
      <x:c r="I26" s="4"/>
      <x:c r="J26" s="4"/>
    </x:row>
  </x:sheetData>
  <x:pageMargins left="0.7" right="0.7" top="0.75" bottom="0.75" header="0.3" footer="0.3"/>
  <x:tableParts count="2">
    <x:tablePart xmlns:r="http://schemas.openxmlformats.org/officeDocument/2006/relationships" r:id="Rbb7854243f974c48"/>
    <x:tablePart xmlns:r="http://schemas.openxmlformats.org/officeDocument/2006/relationships" r:id="Ree1a4459fb4c4d75"/>
  </x:tableParts>
</x:worksheet>
</file>

<file path=xl/worksheets/sheet6.xml><?xml version="1.0" encoding="utf-8"?>
<x:worksheet xmlns:x="http://schemas.openxmlformats.org/spreadsheetml/2006/main">
  <x:sheetPr>
    <x:tabColor rgb="FFBBC8D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8" hidden="0" customWidth="1"/>
    <x:col min="11" max="11" width="19" hidden="0" customWidth="1"/>
    <x:col min="12" max="12" width="4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Волны и конечные награды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4" t="str">
        <x:v>Доли ролей и доли прорисовки — разные броски. Значения включают Target и явные переопределения волн.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2" customHeight="1">
      <x:c r="A5" s="4" t="str">
        <x:v>Доли заданы в балансе. Developer-флаги могут подавлять плевунов или прорисовку, сохраняя эти исходные настройки.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 ht="40" customHeight="1">
      <x:c r="A6" s="9" t="str">
        <x:v>Пресет</x:v>
      </x:c>
      <x:c r="B6" s="9" t="str">
        <x:v>Волна</x:v>
      </x:c>
      <x:c r="C6" s="9" t="str">
        <x:v>Врагов</x:v>
      </x:c>
      <x:c r="D6" s="9" t="str">
        <x:v>Интервал, с</x:v>
      </x:c>
      <x:c r="E6" s="9" t="str">
        <x:v>Бегуны</x:v>
      </x:c>
      <x:c r="F6" s="9" t="str">
        <x:v>Грызуны</x:v>
      </x:c>
      <x:c r="G6" s="9" t="str">
        <x:v>Плевуны</x:v>
      </x:c>
      <x:c r="H6" s="9" t="str">
        <x:v>Обведённые</x:v>
      </x:c>
      <x:c r="I6" s="9" t="str">
        <x:v>Штрихованные</x:v>
      </x:c>
      <x:c r="J6" s="9" t="str">
        <x:v>Штрихи за волну</x:v>
      </x:c>
      <x:c r="K6" s="9" t="str">
        <x:v>Штрихи накопл.</x:v>
      </x:c>
      <x:c r="L6" s="9" t="str">
        <x:v>Название</x:v>
      </x:c>
    </x:row>
    <x:row r="7" ht="42" customHeight="1">
      <x:c r="A7" s="6" t="str">
        <x:v>Notebook</x:v>
      </x:c>
      <x:c r="B7" s="11" t="n">
        <x:v>1</x:v>
      </x:c>
      <x:c r="C7" s="11" t="n">
        <x:v>80</x:v>
      </x:c>
      <x:c r="D7" s="13" t="n">
        <x:v>0.14000000059604645</x:v>
      </x:c>
      <x:c r="E7" s="15" t="n">
        <x:v>0</x:v>
      </x:c>
      <x:c r="F7" s="15" t="n">
        <x:v>0</x:v>
      </x:c>
      <x:c r="G7" s="15" t="n">
        <x:v>0</x:v>
      </x:c>
      <x:c r="H7" s="15" t="n">
        <x:v>0</x:v>
      </x:c>
      <x:c r="I7" s="15" t="n">
        <x:v>0</x:v>
      </x:c>
      <x:c r="J7" s="11" t="n">
        <x:v>75</x:v>
      </x:c>
      <x:c r="K7" s="14" t="n">
        <x:f>SUM(J7:J7)</x:f>
        <x:v>75</x:v>
      </x:c>
      <x:c r="L7" s="6" t="str">
        <x:v>Каракули с запада</x:v>
      </x:c>
    </x:row>
    <x:row r="8" ht="42" customHeight="1">
      <x:c r="A8" s="6" t="str">
        <x:v>Notebook</x:v>
      </x:c>
      <x:c r="B8" s="11" t="n">
        <x:v>2</x:v>
      </x:c>
      <x:c r="C8" s="11" t="n">
        <x:v>120</x:v>
      </x:c>
      <x:c r="D8" s="13" t="n">
        <x:v>0.11999999731779099</x:v>
      </x:c>
      <x:c r="E8" s="15" t="n">
        <x:v>0.2199999988079071</x:v>
      </x:c>
      <x:c r="F8" s="15" t="n">
        <x:v>0</x:v>
      </x:c>
      <x:c r="G8" s="15" t="n">
        <x:v>0</x:v>
      </x:c>
      <x:c r="H8" s="15" t="n">
        <x:v>0.07999999821186066</x:v>
      </x:c>
      <x:c r="I8" s="15" t="n">
        <x:v>0</x:v>
      </x:c>
      <x:c r="J8" s="11" t="n">
        <x:v>75</x:v>
      </x:c>
      <x:c r="K8" s="14" t="n">
        <x:f>SUM(J7:J8)</x:f>
        <x:v>150</x:v>
      </x:c>
      <x:c r="L8" s="6" t="str">
        <x:v>Бегуны с востока</x:v>
      </x:c>
    </x:row>
    <x:row r="9" ht="42" customHeight="1">
      <x:c r="A9" s="6" t="str">
        <x:v>Notebook</x:v>
      </x:c>
      <x:c r="B9" s="11" t="n">
        <x:v>3</x:v>
      </x:c>
      <x:c r="C9" s="11" t="n">
        <x:v>180</x:v>
      </x:c>
      <x:c r="D9" s="13" t="n">
        <x:v>0.10000000149011612</x:v>
      </x:c>
      <x:c r="E9" s="15" t="n">
        <x:v>0.25</x:v>
      </x:c>
      <x:c r="F9" s="15" t="n">
        <x:v>0.07999999821186066</x:v>
      </x:c>
      <x:c r="G9" s="15" t="n">
        <x:v>0.03999999910593033</x:v>
      </x:c>
      <x:c r="H9" s="15" t="n">
        <x:v>0.1599999964237213</x:v>
      </x:c>
      <x:c r="I9" s="15" t="n">
        <x:v>0</x:v>
      </x:c>
      <x:c r="J9" s="11" t="n">
        <x:v>75</x:v>
      </x:c>
      <x:c r="K9" s="14" t="n">
        <x:f>SUM(J7:J9)</x:f>
        <x:v>225</x:v>
      </x:c>
      <x:c r="L9" s="6" t="str">
        <x:v>Первые грызуны · запад / север</x:v>
      </x:c>
    </x:row>
    <x:row r="10" ht="42" customHeight="1">
      <x:c r="A10" s="6" t="str">
        <x:v>Notebook</x:v>
      </x:c>
      <x:c r="B10" s="11" t="n">
        <x:v>4</x:v>
      </x:c>
      <x:c r="C10" s="11" t="n">
        <x:v>260</x:v>
      </x:c>
      <x:c r="D10" s="13" t="n">
        <x:v>0.08500000089406967</x:v>
      </x:c>
      <x:c r="E10" s="15" t="n">
        <x:v>0.3199999928474426</x:v>
      </x:c>
      <x:c r="F10" s="15" t="n">
        <x:v>0.10000000149011612</x:v>
      </x:c>
      <x:c r="G10" s="15" t="n">
        <x:v>0.07999999821186066</x:v>
      </x:c>
      <x:c r="H10" s="15" t="n">
        <x:v>0.23999999463558197</x:v>
      </x:c>
      <x:c r="I10" s="15" t="n">
        <x:v>0</x:v>
      </x:c>
      <x:c r="J10" s="11" t="n">
        <x:v>75</x:v>
      </x:c>
      <x:c r="K10" s="14" t="n">
        <x:f>SUM(J7:J10)</x:f>
        <x:v>300</x:v>
      </x:c>
      <x:c r="L10" s="6" t="str">
        <x:v>Два фронта · восток / юг</x:v>
      </x:c>
    </x:row>
    <x:row r="11" ht="42" customHeight="1">
      <x:c r="A11" s="6" t="str">
        <x:v>Notebook</x:v>
      </x:c>
      <x:c r="B11" s="11" t="n">
        <x:v>5</x:v>
      </x:c>
      <x:c r="C11" s="11" t="n">
        <x:v>360</x:v>
      </x:c>
      <x:c r="D11" s="13" t="n">
        <x:v>0.07500000298023224</x:v>
      </x:c>
      <x:c r="E11" s="15" t="n">
        <x:v>0.30000001192092896</x:v>
      </x:c>
      <x:c r="F11" s="15" t="n">
        <x:v>0.12999999523162842</x:v>
      </x:c>
      <x:c r="G11" s="15" t="n">
        <x:v>0.11999999731779099</x:v>
      </x:c>
      <x:c r="H11" s="15" t="n">
        <x:v>0.3199999928474426</x:v>
      </x:c>
      <x:c r="I11" s="15" t="n">
        <x:v>0.05000000074505806</x:v>
      </x:c>
      <x:c r="J11" s="11" t="n">
        <x:v>75</x:v>
      </x:c>
      <x:c r="K11" s="14" t="n">
        <x:f>SUM(J7:J11)</x:f>
        <x:v>375</x:v>
      </x:c>
      <x:c r="L11" s="6" t="str">
        <x:v>Чернильный прилив · запад / восток</x:v>
      </x:c>
    </x:row>
    <x:row r="12" ht="42" customHeight="1">
      <x:c r="A12" s="6" t="str">
        <x:v>Notebook</x:v>
      </x:c>
      <x:c r="B12" s="11" t="n">
        <x:v>6</x:v>
      </x:c>
      <x:c r="C12" s="11" t="n">
        <x:v>500</x:v>
      </x:c>
      <x:c r="D12" s="13" t="n">
        <x:v>0.06499999761581421</x:v>
      </x:c>
      <x:c r="E12" s="15" t="n">
        <x:v>0.3499999940395355</x:v>
      </x:c>
      <x:c r="F12" s="15" t="n">
        <x:v>0.15000000596046448</x:v>
      </x:c>
      <x:c r="G12" s="15" t="n">
        <x:v>0.1599999964237213</x:v>
      </x:c>
      <x:c r="H12" s="15" t="n">
        <x:v>0.3499999940395355</x:v>
      </x:c>
      <x:c r="I12" s="15" t="n">
        <x:v>0.10000000149011612</x:v>
      </x:c>
      <x:c r="J12" s="11" t="n">
        <x:v>75</x:v>
      </x:c>
      <x:c r="K12" s="14" t="n">
        <x:f>SUM(J7:J12)</x:f>
        <x:v>450</x:v>
      </x:c>
      <x:c r="L12" s="6" t="str">
        <x:v>Штурм полей · север / юг</x:v>
      </x:c>
    </x:row>
    <x:row r="13" ht="42" customHeight="1">
      <x:c r="A13" s="6" t="str">
        <x:v>Notebook</x:v>
      </x:c>
      <x:c r="B13" s="11" t="n">
        <x:v>7</x:v>
      </x:c>
      <x:c r="C13" s="11" t="n">
        <x:v>680</x:v>
      </x:c>
      <x:c r="D13" s="13" t="n">
        <x:v>0.054999999701976776</x:v>
      </x:c>
      <x:c r="E13" s="15" t="n">
        <x:v>0.36000001430511475</x:v>
      </x:c>
      <x:c r="F13" s="15" t="n">
        <x:v>0.18000000715255737</x:v>
      </x:c>
      <x:c r="G13" s="15" t="n">
        <x:v>0.1599999964237213</x:v>
      </x:c>
      <x:c r="H13" s="15" t="n">
        <x:v>0.3499999940395355</x:v>
      </x:c>
      <x:c r="I13" s="15" t="n">
        <x:v>0.15000000596046448</x:v>
      </x:c>
      <x:c r="J13" s="11" t="n">
        <x:v>75</x:v>
      </x:c>
      <x:c r="K13" s="14" t="n">
        <x:f>SUM(J7:J13)</x:f>
        <x:v>525</x:v>
      </x:c>
      <x:c r="L13" s="6" t="str">
        <x:v>Со всех сторон</x:v>
      </x:c>
    </x:row>
    <x:row r="14" ht="42" customHeight="1">
      <x:c r="A14" s="6" t="str">
        <x:v>Notebook</x:v>
      </x:c>
      <x:c r="B14" s="11" t="n">
        <x:v>8</x:v>
      </x:c>
      <x:c r="C14" s="11" t="n">
        <x:v>1000</x:v>
      </x:c>
      <x:c r="D14" s="13" t="n">
        <x:v>0.04500000178813934</x:v>
      </x:c>
      <x:c r="E14" s="15" t="n">
        <x:v>0.3799999952316284</x:v>
      </x:c>
      <x:c r="F14" s="15" t="n">
        <x:v>0.20000000298023224</x:v>
      </x:c>
      <x:c r="G14" s="15" t="n">
        <x:v>0.1599999964237213</x:v>
      </x:c>
      <x:c r="H14" s="15" t="n">
        <x:v>0.3499999940395355</x:v>
      </x:c>
      <x:c r="I14" s="15" t="n">
        <x:v>0.20000000298023224</x:v>
      </x:c>
      <x:c r="J14" s="11" t="n">
        <x:v>75</x:v>
      </x:c>
      <x:c r="K14" s="14" t="n">
        <x:f>SUM(J7:J14)</x:f>
        <x:v>600</x:v>
      </x:c>
      <x:c r="L14" s="6" t="str">
        <x:v>Финальная осада · 1000 каракуль</x:v>
      </x:c>
    </x:row>
    <x:row r="15" ht="42" customHeight="1">
      <x:c r="A15" s="6" t="str">
        <x:v>Target</x:v>
      </x:c>
      <x:c r="B15" s="11" t="n">
        <x:v>1</x:v>
      </x:c>
      <x:c r="C15" s="11" t="n">
        <x:v>80</x:v>
      </x:c>
      <x:c r="D15" s="13" t="n">
        <x:v>0.14000000059604645</x:v>
      </x:c>
      <x:c r="E15" s="15" t="n">
        <x:v>0</x:v>
      </x:c>
      <x:c r="F15" s="15" t="n">
        <x:v>0</x:v>
      </x:c>
      <x:c r="G15" s="15" t="n">
        <x:v>0</x:v>
      </x:c>
      <x:c r="H15" s="15" t="n">
        <x:v>0</x:v>
      </x:c>
      <x:c r="I15" s="15" t="n">
        <x:v>0</x:v>
      </x:c>
      <x:c r="J15" s="11" t="n">
        <x:v>140</x:v>
      </x:c>
      <x:c r="K15" s="14" t="n">
        <x:f>SUM(J15:J15)</x:f>
        <x:v>140</x:v>
      </x:c>
      <x:c r="L15" s="6" t="str">
        <x:v>Каракули с запада</x:v>
      </x:c>
    </x:row>
    <x:row r="16" ht="42" customHeight="1">
      <x:c r="A16" s="6" t="str">
        <x:v>Target</x:v>
      </x:c>
      <x:c r="B16" s="11" t="n">
        <x:v>2</x:v>
      </x:c>
      <x:c r="C16" s="11" t="n">
        <x:v>120</x:v>
      </x:c>
      <x:c r="D16" s="13" t="n">
        <x:v>0.11999999731779099</x:v>
      </x:c>
      <x:c r="E16" s="15" t="n">
        <x:v>0.2199999988079071</x:v>
      </x:c>
      <x:c r="F16" s="15" t="n">
        <x:v>0</x:v>
      </x:c>
      <x:c r="G16" s="15" t="n">
        <x:v>0</x:v>
      </x:c>
      <x:c r="H16" s="15" t="n">
        <x:v>0.07999999821186066</x:v>
      </x:c>
      <x:c r="I16" s="15" t="n">
        <x:v>0</x:v>
      </x:c>
      <x:c r="J16" s="11" t="n">
        <x:v>160</x:v>
      </x:c>
      <x:c r="K16" s="14" t="n">
        <x:f>SUM(J15:J16)</x:f>
        <x:v>300</x:v>
      </x:c>
      <x:c r="L16" s="6" t="str">
        <x:v>Бегуны с востока</x:v>
      </x:c>
    </x:row>
    <x:row r="17" ht="42" customHeight="1">
      <x:c r="A17" s="6" t="str">
        <x:v>Target</x:v>
      </x:c>
      <x:c r="B17" s="11" t="n">
        <x:v>3</x:v>
      </x:c>
      <x:c r="C17" s="11" t="n">
        <x:v>180</x:v>
      </x:c>
      <x:c r="D17" s="13" t="n">
        <x:v>0.10000000149011612</x:v>
      </x:c>
      <x:c r="E17" s="15" t="n">
        <x:v>0.25</x:v>
      </x:c>
      <x:c r="F17" s="15" t="n">
        <x:v>0.07999999821186066</x:v>
      </x:c>
      <x:c r="G17" s="15" t="n">
        <x:v>0.03999999910593033</x:v>
      </x:c>
      <x:c r="H17" s="15" t="n">
        <x:v>0.1599999964237213</x:v>
      </x:c>
      <x:c r="I17" s="15" t="n">
        <x:v>0</x:v>
      </x:c>
      <x:c r="J17" s="11" t="n">
        <x:v>180</x:v>
      </x:c>
      <x:c r="K17" s="14" t="n">
        <x:f>SUM(J15:J17)</x:f>
        <x:v>480</x:v>
      </x:c>
      <x:c r="L17" s="6" t="str">
        <x:v>Первые грызуны · запад / север</x:v>
      </x:c>
    </x:row>
    <x:row r="18" ht="42" customHeight="1">
      <x:c r="A18" s="6" t="str">
        <x:v>Target</x:v>
      </x:c>
      <x:c r="B18" s="11" t="n">
        <x:v>4</x:v>
      </x:c>
      <x:c r="C18" s="11" t="n">
        <x:v>260</x:v>
      </x:c>
      <x:c r="D18" s="13" t="n">
        <x:v>0.08500000089406967</x:v>
      </x:c>
      <x:c r="E18" s="15" t="n">
        <x:v>0.3199999928474426</x:v>
      </x:c>
      <x:c r="F18" s="15" t="n">
        <x:v>0.10000000149011612</x:v>
      </x:c>
      <x:c r="G18" s="15" t="n">
        <x:v>0.07999999821186066</x:v>
      </x:c>
      <x:c r="H18" s="15" t="n">
        <x:v>0.23999999463558197</x:v>
      </x:c>
      <x:c r="I18" s="15" t="n">
        <x:v>0</x:v>
      </x:c>
      <x:c r="J18" s="11" t="n">
        <x:v>200</x:v>
      </x:c>
      <x:c r="K18" s="14" t="n">
        <x:f>SUM(J15:J18)</x:f>
        <x:v>680</x:v>
      </x:c>
      <x:c r="L18" s="6" t="str">
        <x:v>Два фронта · восток / юг</x:v>
      </x:c>
    </x:row>
    <x:row r="19" ht="42" customHeight="1">
      <x:c r="A19" s="6" t="str">
        <x:v>Target</x:v>
      </x:c>
      <x:c r="B19" s="11" t="n">
        <x:v>5</x:v>
      </x:c>
      <x:c r="C19" s="11" t="n">
        <x:v>360</x:v>
      </x:c>
      <x:c r="D19" s="13" t="n">
        <x:v>0.07500000298023224</x:v>
      </x:c>
      <x:c r="E19" s="15" t="n">
        <x:v>0.30000001192092896</x:v>
      </x:c>
      <x:c r="F19" s="15" t="n">
        <x:v>0.12999999523162842</x:v>
      </x:c>
      <x:c r="G19" s="15" t="n">
        <x:v>0.11999999731779099</x:v>
      </x:c>
      <x:c r="H19" s="15" t="n">
        <x:v>0.3199999928474426</x:v>
      </x:c>
      <x:c r="I19" s="15" t="n">
        <x:v>0.05000000074505806</x:v>
      </x:c>
      <x:c r="J19" s="11" t="n">
        <x:v>220</x:v>
      </x:c>
      <x:c r="K19" s="14" t="n">
        <x:f>SUM(J15:J19)</x:f>
        <x:v>900</x:v>
      </x:c>
      <x:c r="L19" s="6" t="str">
        <x:v>Чернильный прилив · запад / восток</x:v>
      </x:c>
    </x:row>
    <x:row r="20" ht="42" customHeight="1">
      <x:c r="A20" s="6" t="str">
        <x:v>Target</x:v>
      </x:c>
      <x:c r="B20" s="11" t="n">
        <x:v>6</x:v>
      </x:c>
      <x:c r="C20" s="11" t="n">
        <x:v>500</x:v>
      </x:c>
      <x:c r="D20" s="13" t="n">
        <x:v>0.06499999761581421</x:v>
      </x:c>
      <x:c r="E20" s="15" t="n">
        <x:v>0.3499999940395355</x:v>
      </x:c>
      <x:c r="F20" s="15" t="n">
        <x:v>0.15000000596046448</x:v>
      </x:c>
      <x:c r="G20" s="15" t="n">
        <x:v>0.1599999964237213</x:v>
      </x:c>
      <x:c r="H20" s="15" t="n">
        <x:v>0.3499999940395355</x:v>
      </x:c>
      <x:c r="I20" s="15" t="n">
        <x:v>0.10000000149011612</x:v>
      </x:c>
      <x:c r="J20" s="11" t="n">
        <x:v>240</x:v>
      </x:c>
      <x:c r="K20" s="14" t="n">
        <x:f>SUM(J15:J20)</x:f>
        <x:v>1140</x:v>
      </x:c>
      <x:c r="L20" s="6" t="str">
        <x:v>Штурм полей · север / юг</x:v>
      </x:c>
    </x:row>
    <x:row r="21" ht="42" customHeight="1">
      <x:c r="A21" s="6" t="str">
        <x:v>Target</x:v>
      </x:c>
      <x:c r="B21" s="11" t="n">
        <x:v>7</x:v>
      </x:c>
      <x:c r="C21" s="11" t="n">
        <x:v>680</x:v>
      </x:c>
      <x:c r="D21" s="13" t="n">
        <x:v>0.054999999701976776</x:v>
      </x:c>
      <x:c r="E21" s="15" t="n">
        <x:v>0.36000001430511475</x:v>
      </x:c>
      <x:c r="F21" s="15" t="n">
        <x:v>0.18000000715255737</x:v>
      </x:c>
      <x:c r="G21" s="15" t="n">
        <x:v>0.1599999964237213</x:v>
      </x:c>
      <x:c r="H21" s="15" t="n">
        <x:v>0.3499999940395355</x:v>
      </x:c>
      <x:c r="I21" s="15" t="n">
        <x:v>0.15000000596046448</x:v>
      </x:c>
      <x:c r="J21" s="11" t="n">
        <x:v>260</x:v>
      </x:c>
      <x:c r="K21" s="14" t="n">
        <x:f>SUM(J15:J21)</x:f>
        <x:v>1400</x:v>
      </x:c>
      <x:c r="L21" s="6" t="str">
        <x:v>Со всех сторон</x:v>
      </x:c>
    </x:row>
    <x:row r="22" ht="42" customHeight="1">
      <x:c r="A22" s="6" t="str">
        <x:v>Target</x:v>
      </x:c>
      <x:c r="B22" s="11" t="n">
        <x:v>8</x:v>
      </x:c>
      <x:c r="C22" s="11" t="n">
        <x:v>1000</x:v>
      </x:c>
      <x:c r="D22" s="13" t="n">
        <x:v>0.04500000178813934</x:v>
      </x:c>
      <x:c r="E22" s="15" t="n">
        <x:v>0.3799999952316284</x:v>
      </x:c>
      <x:c r="F22" s="15" t="n">
        <x:v>0.20000000298023224</x:v>
      </x:c>
      <x:c r="G22" s="15" t="n">
        <x:v>0.1599999964237213</x:v>
      </x:c>
      <x:c r="H22" s="15" t="n">
        <x:v>0.3499999940395355</x:v>
      </x:c>
      <x:c r="I22" s="15" t="n">
        <x:v>0.20000000298023224</x:v>
      </x:c>
      <x:c r="J22" s="11" t="n">
        <x:v>280</x:v>
      </x:c>
      <x:c r="K22" s="14" t="n">
        <x:f>SUM(J15:J22)</x:f>
        <x:v>1680</x:v>
      </x:c>
      <x:c r="L22" s="6" t="str">
        <x:v>Финальная осада · 1000 каракуль</x:v>
      </x:c>
    </x:row>
  </x:sheetData>
  <x:pageMargins left="0.7" right="0.7" top="0.75" bottom="0.75" header="0.3" footer="0.3"/>
  <x:tableParts count="1">
    <x:tablePart xmlns:r="http://schemas.openxmlformats.org/officeDocument/2006/relationships" r:id="Reed1899447f9494c"/>
  </x:tableParts>
</x:worksheet>
</file>

<file path=xl/worksheets/sheet7.xml><?xml version="1.0" encoding="utf-8"?>
<x:worksheet xmlns:x="http://schemas.openxmlformats.org/spreadsheetml/2006/main">
  <x:sheetPr>
    <x:tabColor rgb="FFBBC8D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0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Полный словарь эффективных параметров</x:v>
      </x:c>
      <x:c r="B2" s="1"/>
      <x:c r="C2" s="1"/>
      <x:c r="D2" s="1"/>
      <x:c r="E2" s="1"/>
    </x:row>
    <x:row r="3">
      <x:c r="A3" s="3"/>
      <x:c r="B3" s="3"/>
      <x:c r="C3" s="3"/>
      <x:c r="D3" s="3"/>
      <x:c r="E3" s="3"/>
    </x:row>
    <x:row r="4" ht="22" customHeight="1">
      <x:c r="A4" s="4" t="str">
        <x:v>Каждое public-поле GameBalance экспортируется автоматически. Числа не переписываются из C# или YAML.</x:v>
      </x:c>
      <x:c r="B4" s="4"/>
      <x:c r="C4" s="4"/>
      <x:c r="D4" s="4"/>
      <x:c r="E4" s="4"/>
    </x:row>
    <x:row r="5" ht="22" customHeight="1">
      <x:c r="A5" s="4" t="str">
        <x:v>Песочный цвет отмечает различия между эффективными конфигурациями.</x:v>
      </x:c>
      <x:c r="B5" s="4"/>
      <x:c r="C5" s="4"/>
      <x:c r="D5" s="4"/>
      <x:c r="E5" s="4"/>
    </x:row>
    <x:row r="6" ht="40" customHeight="1">
      <x:c r="A6" s="9" t="str">
        <x:v>Параметр</x:v>
      </x:c>
      <x:c r="B6" s="9" t="str">
        <x:v>Единица</x:v>
      </x:c>
      <x:c r="C6" s="9" t="str">
        <x:v>Notebook</x:v>
      </x:c>
      <x:c r="D6" s="9" t="str">
        <x:v>Target</x:v>
      </x:c>
      <x:c r="E6" s="9" t="str">
        <x:v>Тип</x:v>
      </x:c>
    </x:row>
    <x:row r="7" ht="23" customHeight="1">
      <x:c r="A7" s="20" t="str">
        <x:v>BaseHealth</x:v>
      </x:c>
      <x:c r="B7" s="20" t="str">
        <x:v>HP</x:v>
      </x:c>
      <x:c r="C7" s="26" t="n">
        <x:v>250</x:v>
      </x:c>
      <x:c r="D7" s="26" t="n">
        <x:v>250</x:v>
      </x:c>
      <x:c r="E7" s="20" t="str">
        <x:v>number</x:v>
      </x:c>
    </x:row>
    <x:row r="8" ht="23" customHeight="1">
      <x:c r="A8" s="20" t="str">
        <x:v>BlotBuffSeconds</x:v>
      </x:c>
      <x:c r="B8" s="20" t="str">
        <x:v>с</x:v>
      </x:c>
      <x:c r="C8" s="26" t="n">
        <x:v>4</x:v>
      </x:c>
      <x:c r="D8" s="26" t="n">
        <x:v>4</x:v>
      </x:c>
      <x:c r="E8" s="20" t="str">
        <x:v>number</x:v>
      </x:c>
    </x:row>
    <x:row r="9" ht="23" customHeight="1">
      <x:c r="A9" s="20" t="str">
        <x:v>BlotLifetime</x:v>
      </x:c>
      <x:c r="B9" s="20" t="str">
        <x:v>с</x:v>
      </x:c>
      <x:c r="C9" s="26" t="n">
        <x:v>8</x:v>
      </x:c>
      <x:c r="D9" s="26" t="n">
        <x:v>8</x:v>
      </x:c>
      <x:c r="E9" s="20" t="str">
        <x:v>number</x:v>
      </x:c>
    </x:row>
    <x:row r="10" ht="23" customHeight="1">
      <x:c r="A10" s="20" t="str">
        <x:v>BlotReduction</x:v>
      </x:c>
      <x:c r="B10" s="20" t="str">
        <x:v>доля</x:v>
      </x:c>
      <x:c r="C10" s="24" t="n">
        <x:v>0.15000000596046448</x:v>
      </x:c>
      <x:c r="D10" s="24" t="n">
        <x:v>0.15000000596046448</x:v>
      </x:c>
      <x:c r="E10" s="20" t="str">
        <x:v>number</x:v>
      </x:c>
    </x:row>
    <x:row r="11" ht="23" customHeight="1">
      <x:c r="A11" s="20" t="str">
        <x:v>BlotSpeedBonus</x:v>
      </x:c>
      <x:c r="B11" s="20" t="str">
        <x:v>доля</x:v>
      </x:c>
      <x:c r="C11" s="24" t="n">
        <x:v>0.15000000596046448</x:v>
      </x:c>
      <x:c r="D11" s="24" t="n">
        <x:v>0.15000000596046448</x:v>
      </x:c>
      <x:c r="E11" s="20" t="str">
        <x:v>number</x:v>
      </x:c>
    </x:row>
    <x:row r="12" ht="23" customHeight="1">
      <x:c r="A12" s="20" t="str">
        <x:v>BlotterCooldown</x:v>
      </x:c>
      <x:c r="B12" s="20" t="str">
        <x:v>с</x:v>
      </x:c>
      <x:c r="C12" s="26" t="n">
        <x:v>3</x:v>
      </x:c>
      <x:c r="D12" s="26" t="n">
        <x:v>3</x:v>
      </x:c>
      <x:c r="E12" s="20" t="str">
        <x:v>number</x:v>
      </x:c>
    </x:row>
    <x:row r="13" ht="23" customHeight="1">
      <x:c r="A13" s="20" t="str">
        <x:v>BlotterCost</x:v>
      </x:c>
      <x:c r="B13" s="20" t="str">
        <x:v>штрихи</x:v>
      </x:c>
      <x:c r="C13" s="26" t="n">
        <x:v>8</x:v>
      </x:c>
      <x:c r="D13" s="26" t="n">
        <x:v>8</x:v>
      </x:c>
      <x:c r="E13" s="20" t="str">
        <x:v>number</x:v>
      </x:c>
    </x:row>
    <x:row r="14" ht="23" customHeight="1">
      <x:c r="A14" s="20" t="str">
        <x:v>BlotterRadius</x:v>
      </x:c>
      <x:c r="B14" s="20" t="str">
        <x:v>клетки</x:v>
      </x:c>
      <x:c r="C14" s="26" t="n">
        <x:v>3</x:v>
      </x:c>
      <x:c r="D14" s="26" t="n">
        <x:v>3</x:v>
      </x:c>
      <x:c r="E14" s="20" t="str">
        <x:v>number</x:v>
      </x:c>
    </x:row>
    <x:row r="15" ht="23" customHeight="1">
      <x:c r="A15" s="20" t="str">
        <x:v>Construction.AcquisitionSeconds</x:v>
      </x:c>
      <x:c r="B15" s="20" t="str">
        <x:v>с</x:v>
      </x:c>
      <x:c r="C15" s="24" t="n">
        <x:v>0.25</x:v>
      </x:c>
      <x:c r="D15" s="24" t="n">
        <x:v>0.25</x:v>
      </x:c>
      <x:c r="E15" s="20" t="str">
        <x:v>number</x:v>
      </x:c>
    </x:row>
    <x:row r="16" ht="23" customHeight="1">
      <x:c r="A16" s="20" t="str">
        <x:v>Construction.ArmorBuildSeconds</x:v>
      </x:c>
      <x:c r="B16" s="20" t="str">
        <x:v>с</x:v>
      </x:c>
      <x:c r="C16" s="24" t="n">
        <x:v>0.25</x:v>
      </x:c>
      <x:c r="D16" s="24" t="n">
        <x:v>0.25</x:v>
      </x:c>
      <x:c r="E16" s="20" t="str">
        <x:v>number</x:v>
      </x:c>
    </x:row>
    <x:row r="17" ht="23" customHeight="1">
      <x:c r="A17" s="20" t="str">
        <x:v>Construction.ArmorCost</x:v>
      </x:c>
      <x:c r="B17" s="20" t="str">
        <x:v>штрихи</x:v>
      </x:c>
      <x:c r="C17" s="26" t="n">
        <x:v>18</x:v>
      </x:c>
      <x:c r="D17" s="26" t="n">
        <x:v>18</x:v>
      </x:c>
      <x:c r="E17" s="20" t="str">
        <x:v>number</x:v>
      </x:c>
    </x:row>
    <x:row r="18" ht="23" customHeight="1">
      <x:c r="A18" s="20" t="str">
        <x:v>Construction.ArmorDefense</x:v>
      </x:c>
      <x:c r="B18" s="20" t="str">
        <x:v>доля</x:v>
      </x:c>
      <x:c r="C18" s="24" t="n">
        <x:v>0</x:v>
      </x:c>
      <x:c r="D18" s="24" t="n">
        <x:v>0.25</x:v>
      </x:c>
      <x:c r="E18" s="20" t="str">
        <x:v>number</x:v>
      </x:c>
    </x:row>
    <x:row r="19" ht="23" customHeight="1">
      <x:c r="A19" s="20" t="str">
        <x:v>Construction.ArmorHealthMultiplier</x:v>
      </x:c>
      <x:c r="B19" s="20" t="str">
        <x:v>множитель</x:v>
      </x:c>
      <x:c r="C19" s="24" t="n">
        <x:v>1.5</x:v>
      </x:c>
      <x:c r="D19" s="24" t="n">
        <x:v>1</x:v>
      </x:c>
      <x:c r="E19" s="20" t="str">
        <x:v>number</x:v>
      </x:c>
    </x:row>
    <x:row r="20" ht="23" customHeight="1">
      <x:c r="A20" s="20" t="str">
        <x:v>Construction.ArmorLoad</x:v>
      </x:c>
      <x:c r="B20" s="20" t="str">
        <x:v>нагрузка</x:v>
      </x:c>
      <x:c r="C20" s="26" t="n">
        <x:v>3</x:v>
      </x:c>
      <x:c r="D20" s="26" t="n">
        <x:v>3</x:v>
      </x:c>
      <x:c r="E20" s="20" t="str">
        <x:v>number</x:v>
      </x:c>
    </x:row>
    <x:row r="21" ht="23" customHeight="1">
      <x:c r="A21" s="20" t="str">
        <x:v>Construction.BlotterLoad</x:v>
      </x:c>
      <x:c r="B21" s="20" t="str">
        <x:v>нагрузка</x:v>
      </x:c>
      <x:c r="C21" s="26" t="n">
        <x:v>3</x:v>
      </x:c>
      <x:c r="D21" s="26" t="n">
        <x:v>3</x:v>
      </x:c>
      <x:c r="E21" s="20" t="str">
        <x:v>number</x:v>
      </x:c>
    </x:row>
    <x:row r="22" ht="23" customHeight="1">
      <x:c r="A22" s="20" t="str">
        <x:v>Construction.BlotterUnlockGold</x:v>
      </x:c>
      <x:c r="B22" s="20" t="str">
        <x:v>золото</x:v>
      </x:c>
      <x:c r="C22" s="26" t="n">
        <x:v>40</x:v>
      </x:c>
      <x:c r="D22" s="26" t="n">
        <x:v>40</x:v>
      </x:c>
      <x:c r="E22" s="20" t="str">
        <x:v>number</x:v>
      </x:c>
    </x:row>
    <x:row r="23" ht="23" customHeight="1">
      <x:c r="A23" s="20" t="str">
        <x:v>Construction.ColorCostDivisor</x:v>
      </x:c>
      <x:c r="B23" s="20" t="str">
        <x:v>делитель</x:v>
      </x:c>
      <x:c r="C23" s="26" t="n">
        <x:v>8</x:v>
      </x:c>
      <x:c r="D23" s="26" t="n">
        <x:v>8</x:v>
      </x:c>
      <x:c r="E23" s="20" t="str">
        <x:v>number</x:v>
      </x:c>
    </x:row>
    <x:row r="24" ht="23" customHeight="1">
      <x:c r="A24" s="20" t="str">
        <x:v>Construction.ColorMinimum</x:v>
      </x:c>
      <x:c r="B24" s="20" t="str">
        <x:v>цветные чернила</x:v>
      </x:c>
      <x:c r="C24" s="26" t="n">
        <x:v>2</x:v>
      </x:c>
      <x:c r="D24" s="26" t="n">
        <x:v>2</x:v>
      </x:c>
      <x:c r="E24" s="20" t="str">
        <x:v>number</x:v>
      </x:c>
    </x:row>
    <x:row r="25" ht="23" customHeight="1">
      <x:c r="A25" s="20" t="str">
        <x:v>Construction.DualFeedMultiplier</x:v>
      </x:c>
      <x:c r="B25" s="20" t="str">
        <x:v>множитель</x:v>
      </x:c>
      <x:c r="C25" s="24" t="n">
        <x:v>0.800000011920929</x:v>
      </x:c>
      <x:c r="D25" s="24" t="n">
        <x:v>0.800000011920929</x:v>
      </x:c>
      <x:c r="E25" s="20" t="str">
        <x:v>number</x:v>
      </x:c>
    </x:row>
    <x:row r="26" ht="23" customHeight="1">
      <x:c r="A26" s="20" t="str">
        <x:v>Construction.DynamicFeed</x:v>
      </x:c>
      <x:c r="B26" s="20" t="str">
        <x:v>bool</x:v>
      </x:c>
      <x:c r="C26" s="24" t="str">
        <x:v>Выкл.</x:v>
      </x:c>
      <x:c r="D26" s="24" t="str">
        <x:v>Вкл.</x:v>
      </x:c>
      <x:c r="E26" s="20" t="str">
        <x:v>bool</x:v>
      </x:c>
    </x:row>
    <x:row r="27" ht="23" customHeight="1">
      <x:c r="A27" s="20" t="str">
        <x:v>Construction.DynamicFeedCapacity</x:v>
      </x:c>
      <x:c r="B27" s="20" t="str">
        <x:v>множитель</x:v>
      </x:c>
      <x:c r="C27" s="24" t="n">
        <x:v>1.600000023841858</x:v>
      </x:c>
      <x:c r="D27" s="24" t="n">
        <x:v>1.600000023841858</x:v>
      </x:c>
      <x:c r="E27" s="20" t="str">
        <x:v>number</x:v>
      </x:c>
    </x:row>
    <x:row r="28" ht="23" customHeight="1">
      <x:c r="A28" s="20" t="str">
        <x:v>Construction.FanLoad</x:v>
      </x:c>
      <x:c r="B28" s="20" t="str">
        <x:v>нагрузка</x:v>
      </x:c>
      <x:c r="C28" s="26" t="n">
        <x:v>5</x:v>
      </x:c>
      <x:c r="D28" s="26" t="n">
        <x:v>5</x:v>
      </x:c>
      <x:c r="E28" s="20" t="str">
        <x:v>number</x:v>
      </x:c>
    </x:row>
    <x:row r="29" ht="23" customHeight="1">
      <x:c r="A29" s="20" t="str">
        <x:v>Construction.FanUnlockGold</x:v>
      </x:c>
      <x:c r="B29" s="20" t="str">
        <x:v>золото</x:v>
      </x:c>
      <x:c r="C29" s="26" t="n">
        <x:v>60</x:v>
      </x:c>
      <x:c r="D29" s="26" t="n">
        <x:v>60</x:v>
      </x:c>
      <x:c r="E29" s="20" t="str">
        <x:v>number</x:v>
      </x:c>
    </x:row>
    <x:row r="30" ht="23" customHeight="1">
      <x:c r="A30" s="20" t="str">
        <x:v>Construction.FeedBuildSeconds</x:v>
      </x:c>
      <x:c r="B30" s="20" t="str">
        <x:v>с</x:v>
      </x:c>
      <x:c r="C30" s="24" t="n">
        <x:v>0.25</x:v>
      </x:c>
      <x:c r="D30" s="24" t="n">
        <x:v>0.25</x:v>
      </x:c>
      <x:c r="E30" s="20" t="str">
        <x:v>number</x:v>
      </x:c>
    </x:row>
    <x:row r="31" ht="23" customHeight="1">
      <x:c r="A31" s="20" t="str">
        <x:v>Construction.FeedCost</x:v>
      </x:c>
      <x:c r="B31" s="20" t="str">
        <x:v>штрихи</x:v>
      </x:c>
      <x:c r="C31" s="26" t="n">
        <x:v>16</x:v>
      </x:c>
      <x:c r="D31" s="26" t="n">
        <x:v>16</x:v>
      </x:c>
      <x:c r="E31" s="20" t="str">
        <x:v>number</x:v>
      </x:c>
    </x:row>
    <x:row r="32" ht="23" customHeight="1">
      <x:c r="A32" s="20" t="str">
        <x:v>Construction.FeedLoad</x:v>
      </x:c>
      <x:c r="B32" s="20" t="str">
        <x:v>нагрузка</x:v>
      </x:c>
      <x:c r="C32" s="26" t="n">
        <x:v>2</x:v>
      </x:c>
      <x:c r="D32" s="26" t="n">
        <x:v>2</x:v>
      </x:c>
      <x:c r="E32" s="20" t="str">
        <x:v>number</x:v>
      </x:c>
    </x:row>
    <x:row r="33" ht="23" customHeight="1">
      <x:c r="A33" s="20" t="str">
        <x:v>Construction.FeedModuleMultiplier</x:v>
      </x:c>
      <x:c r="B33" s="20" t="str">
        <x:v>множитель</x:v>
      </x:c>
      <x:c r="C33" s="24" t="n">
        <x:v>1.149999976158142</x:v>
      </x:c>
      <x:c r="D33" s="24" t="n">
        <x:v>1.149999976158142</x:v>
      </x:c>
      <x:c r="E33" s="20" t="str">
        <x:v>number</x:v>
      </x:c>
    </x:row>
    <x:row r="34" ht="23" customHeight="1">
      <x:c r="A34" s="20" t="str">
        <x:v>Construction.FeedUnlockGold</x:v>
      </x:c>
      <x:c r="B34" s="20" t="str">
        <x:v>золото</x:v>
      </x:c>
      <x:c r="C34" s="26" t="n">
        <x:v>60</x:v>
      </x:c>
      <x:c r="D34" s="26" t="n">
        <x:v>60</x:v>
      </x:c>
      <x:c r="E34" s="20" t="str">
        <x:v>number</x:v>
      </x:c>
    </x:row>
    <x:row r="35" ht="23" customHeight="1">
      <x:c r="A35" s="20" t="str">
        <x:v>Construction.FoundationHealth</x:v>
      </x:c>
      <x:c r="B35" s="20" t="str">
        <x:v>HP</x:v>
      </x:c>
      <x:c r="C35" s="26" t="n">
        <x:v>55</x:v>
      </x:c>
      <x:c r="D35" s="26" t="n">
        <x:v>55</x:v>
      </x:c>
      <x:c r="E35" s="20" t="str">
        <x:v>number</x:v>
      </x:c>
    </x:row>
    <x:row r="36" ht="23" customHeight="1">
      <x:c r="A36" s="20" t="str">
        <x:v>Construction.GunLoad</x:v>
      </x:c>
      <x:c r="B36" s="20" t="str">
        <x:v>нагрузка</x:v>
      </x:c>
      <x:c r="C36" s="26" t="n">
        <x:v>4</x:v>
      </x:c>
      <x:c r="D36" s="26" t="n">
        <x:v>4</x:v>
      </x:c>
      <x:c r="E36" s="20" t="str">
        <x:v>number</x:v>
      </x:c>
    </x:row>
    <x:row r="37" ht="23" customHeight="1">
      <x:c r="A37" s="20" t="str">
        <x:v>Construction.HeavyBaseCost</x:v>
      </x:c>
      <x:c r="B37" s="20" t="str">
        <x:v>штрихи</x:v>
      </x:c>
      <x:c r="C37" s="26" t="n">
        <x:v>28</x:v>
      </x:c>
      <x:c r="D37" s="26" t="n">
        <x:v>28</x:v>
      </x:c>
      <x:c r="E37" s="20" t="str">
        <x:v>number</x:v>
      </x:c>
    </x:row>
    <x:row r="38" ht="23" customHeight="1">
      <x:c r="A38" s="20" t="str">
        <x:v>Construction.HeavyBuildSeconds</x:v>
      </x:c>
      <x:c r="B38" s="20" t="str">
        <x:v>с</x:v>
      </x:c>
      <x:c r="C38" s="24" t="n">
        <x:v>0.44999998807907104</x:v>
      </x:c>
      <x:c r="D38" s="24" t="n">
        <x:v>0.44999998807907104</x:v>
      </x:c>
      <x:c r="E38" s="20" t="str">
        <x:v>number</x:v>
      </x:c>
    </x:row>
    <x:row r="39" ht="23" customHeight="1">
      <x:c r="A39" s="20" t="str">
        <x:v>Construction.HeavyCapacity</x:v>
      </x:c>
      <x:c r="B39" s="20" t="str">
        <x:v>нагрузка</x:v>
      </x:c>
      <x:c r="C39" s="26" t="n">
        <x:v>14</x:v>
      </x:c>
      <x:c r="D39" s="26" t="n">
        <x:v>14</x:v>
      </x:c>
      <x:c r="E39" s="20" t="str">
        <x:v>number</x:v>
      </x:c>
    </x:row>
    <x:row r="40" ht="23" customHeight="1">
      <x:c r="A40" s="20" t="str">
        <x:v>Construction.HeavyHealthMultiplier</x:v>
      </x:c>
      <x:c r="B40" s="20" t="str">
        <x:v>множитель</x:v>
      </x:c>
      <x:c r="C40" s="24" t="n">
        <x:v>1.2999999523162842</x:v>
      </x:c>
      <x:c r="D40" s="24" t="n">
        <x:v>1.2999999523162842</x:v>
      </x:c>
      <x:c r="E40" s="20" t="str">
        <x:v>number</x:v>
      </x:c>
    </x:row>
    <x:row r="41" ht="23" customHeight="1">
      <x:c r="A41" s="20" t="str">
        <x:v>Construction.HeavyUnlockGold</x:v>
      </x:c>
      <x:c r="B41" s="20" t="str">
        <x:v>золото</x:v>
      </x:c>
      <x:c r="C41" s="26" t="n">
        <x:v>90</x:v>
      </x:c>
      <x:c r="D41" s="26" t="n">
        <x:v>90</x:v>
      </x:c>
      <x:c r="E41" s="20" t="str">
        <x:v>number</x:v>
      </x:c>
    </x:row>
    <x:row r="42" ht="23" customHeight="1">
      <x:c r="A42" s="20" t="str">
        <x:v>Construction.MaxFeedMultiplier</x:v>
      </x:c>
      <x:c r="B42" s="20" t="str">
        <x:v>множитель</x:v>
      </x:c>
      <x:c r="C42" s="24" t="n">
        <x:v>1.149999976158142</x:v>
      </x:c>
      <x:c r="D42" s="24" t="n">
        <x:v>1.149999976158142</x:v>
      </x:c>
      <x:c r="E42" s="20" t="str">
        <x:v>number</x:v>
      </x:c>
    </x:row>
    <x:row r="43" ht="23" customHeight="1">
      <x:c r="A43" s="20" t="str">
        <x:v>Construction.MortarLoad</x:v>
      </x:c>
      <x:c r="B43" s="20" t="str">
        <x:v>нагрузка</x:v>
      </x:c>
      <x:c r="C43" s="26" t="n">
        <x:v>7</x:v>
      </x:c>
      <x:c r="D43" s="26" t="n">
        <x:v>7</x:v>
      </x:c>
      <x:c r="E43" s="20" t="str">
        <x:v>number</x:v>
      </x:c>
    </x:row>
    <x:row r="44" ht="23" customHeight="1">
      <x:c r="A44" s="20" t="str">
        <x:v>Construction.PiercerLoad</x:v>
      </x:c>
      <x:c r="B44" s="20" t="str">
        <x:v>нагрузка</x:v>
      </x:c>
      <x:c r="C44" s="26" t="n">
        <x:v>6</x:v>
      </x:c>
      <x:c r="D44" s="26" t="n">
        <x:v>6</x:v>
      </x:c>
      <x:c r="E44" s="20" t="str">
        <x:v>number</x:v>
      </x:c>
    </x:row>
    <x:row r="45" ht="23" customHeight="1">
      <x:c r="A45" s="20" t="str">
        <x:v>Construction.RailBuildSeconds</x:v>
      </x:c>
      <x:c r="B45" s="20" t="str">
        <x:v>с</x:v>
      </x:c>
      <x:c r="C45" s="24" t="n">
        <x:v>0.25</x:v>
      </x:c>
      <x:c r="D45" s="24" t="n">
        <x:v>0.25</x:v>
      </x:c>
      <x:c r="E45" s="20" t="str">
        <x:v>number</x:v>
      </x:c>
    </x:row>
    <x:row r="46" ht="23" customHeight="1">
      <x:c r="A46" s="20" t="str">
        <x:v>Construction.RailCost</x:v>
      </x:c>
      <x:c r="B46" s="20" t="str">
        <x:v>штрихи</x:v>
      </x:c>
      <x:c r="C46" s="26" t="n">
        <x:v>20</x:v>
      </x:c>
      <x:c r="D46" s="26" t="n">
        <x:v>20</x:v>
      </x:c>
      <x:c r="E46" s="20" t="str">
        <x:v>number</x:v>
      </x:c>
    </x:row>
    <x:row r="47" ht="23" customHeight="1">
      <x:c r="A47" s="20" t="str">
        <x:v>Construction.RailIntervalMultiplier</x:v>
      </x:c>
      <x:c r="B47" s="20" t="str">
        <x:v>множитель</x:v>
      </x:c>
      <x:c r="C47" s="24" t="n">
        <x:v>1.2000000476837158</x:v>
      </x:c>
      <x:c r="D47" s="24" t="n">
        <x:v>1.2000000476837158</x:v>
      </x:c>
      <x:c r="E47" s="20" t="str">
        <x:v>number</x:v>
      </x:c>
    </x:row>
    <x:row r="48" ht="23" customHeight="1">
      <x:c r="A48" s="20" t="str">
        <x:v>Construction.RailLoad</x:v>
      </x:c>
      <x:c r="B48" s="20" t="str">
        <x:v>нагрузка</x:v>
      </x:c>
      <x:c r="C48" s="26" t="n">
        <x:v>2</x:v>
      </x:c>
      <x:c r="D48" s="26" t="n">
        <x:v>2</x:v>
      </x:c>
      <x:c r="E48" s="20" t="str">
        <x:v>number</x:v>
      </x:c>
    </x:row>
    <x:row r="49" ht="23" customHeight="1">
      <x:c r="A49" s="20" t="str">
        <x:v>Construction.RailRangeMultiplier</x:v>
      </x:c>
      <x:c r="B49" s="20" t="str">
        <x:v>множитель</x:v>
      </x:c>
      <x:c r="C49" s="24" t="n">
        <x:v>1.25</x:v>
      </x:c>
      <x:c r="D49" s="24" t="n">
        <x:v>1.25</x:v>
      </x:c>
      <x:c r="E49" s="20" t="str">
        <x:v>number</x:v>
      </x:c>
    </x:row>
    <x:row r="50" ht="23" customHeight="1">
      <x:c r="A50" s="20" t="str">
        <x:v>Construction.RailUnlockGold</x:v>
      </x:c>
      <x:c r="B50" s="20" t="str">
        <x:v>золото</x:v>
      </x:c>
      <x:c r="C50" s="26" t="n">
        <x:v>60</x:v>
      </x:c>
      <x:c r="D50" s="26" t="n">
        <x:v>60</x:v>
      </x:c>
      <x:c r="E50" s="20" t="str">
        <x:v>number</x:v>
      </x:c>
    </x:row>
    <x:row r="51" ht="23" customHeight="1">
      <x:c r="A51" s="20" t="str">
        <x:v>Construction.RicochetLoad</x:v>
      </x:c>
      <x:c r="B51" s="20" t="str">
        <x:v>нагрузка</x:v>
      </x:c>
      <x:c r="C51" s="26" t="n">
        <x:v>5</x:v>
      </x:c>
      <x:c r="D51" s="26" t="n">
        <x:v>5</x:v>
      </x:c>
      <x:c r="E51" s="20" t="str">
        <x:v>number</x:v>
      </x:c>
    </x:row>
    <x:row r="52" ht="23" customHeight="1">
      <x:c r="A52" s="20" t="str">
        <x:v>Construction.RicochetUnlockGold</x:v>
      </x:c>
      <x:c r="B52" s="20" t="str">
        <x:v>золото</x:v>
      </x:c>
      <x:c r="C52" s="26" t="n">
        <x:v>60</x:v>
      </x:c>
      <x:c r="D52" s="26" t="n">
        <x:v>60</x:v>
      </x:c>
      <x:c r="E52" s="20" t="str">
        <x:v>number</x:v>
      </x:c>
    </x:row>
    <x:row r="53" ht="23" customHeight="1">
      <x:c r="A53" s="20" t="str">
        <x:v>Construction.SecondaryBuildSeconds</x:v>
      </x:c>
      <x:c r="B53" s="20" t="str">
        <x:v>с</x:v>
      </x:c>
      <x:c r="C53" s="24" t="n">
        <x:v>0.4000000059604645</x:v>
      </x:c>
      <x:c r="D53" s="24" t="n">
        <x:v>0.4000000059604645</x:v>
      </x:c>
      <x:c r="E53" s="20" t="str">
        <x:v>number</x:v>
      </x:c>
    </x:row>
    <x:row r="54" ht="23" customHeight="1">
      <x:c r="A54" s="20" t="str">
        <x:v>Construction.StandardBaseCost</x:v>
      </x:c>
      <x:c r="B54" s="20" t="str">
        <x:v>штрихи</x:v>
      </x:c>
      <x:c r="C54" s="26" t="n">
        <x:v>16</x:v>
      </x:c>
      <x:c r="D54" s="26" t="n">
        <x:v>16</x:v>
      </x:c>
      <x:c r="E54" s="20" t="str">
        <x:v>number</x:v>
      </x:c>
    </x:row>
    <x:row r="55" ht="23" customHeight="1">
      <x:c r="A55" s="20" t="str">
        <x:v>Construction.StandardCapacity</x:v>
      </x:c>
      <x:c r="B55" s="20" t="str">
        <x:v>нагрузка</x:v>
      </x:c>
      <x:c r="C55" s="26" t="n">
        <x:v>10</x:v>
      </x:c>
      <x:c r="D55" s="26" t="n">
        <x:v>10</x:v>
      </x:c>
      <x:c r="E55" s="20" t="str">
        <x:v>number</x:v>
      </x:c>
    </x:row>
    <x:row r="56" ht="23" customHeight="1">
      <x:c r="A56" s="20" t="str">
        <x:v>Construction.StaplerLoad</x:v>
      </x:c>
      <x:c r="B56" s="20" t="str">
        <x:v>нагрузка</x:v>
      </x:c>
      <x:c r="C56" s="26" t="n">
        <x:v>3</x:v>
      </x:c>
      <x:c r="D56" s="26" t="n">
        <x:v>3</x:v>
      </x:c>
      <x:c r="E56" s="20" t="str">
        <x:v>number</x:v>
      </x:c>
    </x:row>
    <x:row r="57" ht="23" customHeight="1">
      <x:c r="A57" s="20" t="str">
        <x:v>Construction.StaplerUnlockGold</x:v>
      </x:c>
      <x:c r="B57" s="20" t="str">
        <x:v>золото</x:v>
      </x:c>
      <x:c r="C57" s="26" t="n">
        <x:v>40</x:v>
      </x:c>
      <x:c r="D57" s="26" t="n">
        <x:v>40</x:v>
      </x:c>
      <x:c r="E57" s="20" t="str">
        <x:v>number</x:v>
      </x:c>
    </x:row>
    <x:row r="58" ht="23" customHeight="1">
      <x:c r="A58" s="20" t="str">
        <x:v>Construction.TrackingAcquisitionSeconds</x:v>
      </x:c>
      <x:c r="B58" s="20" t="str">
        <x:v>с</x:v>
      </x:c>
      <x:c r="C58" s="24" t="n">
        <x:v>0.07999999821186066</x:v>
      </x:c>
      <x:c r="D58" s="24" t="n">
        <x:v>0.07999999821186066</x:v>
      </x:c>
      <x:c r="E58" s="20" t="str">
        <x:v>number</x:v>
      </x:c>
    </x:row>
    <x:row r="59" ht="23" customHeight="1">
      <x:c r="A59" s="20" t="str">
        <x:v>Construction.TrackingBuildSeconds</x:v>
      </x:c>
      <x:c r="B59" s="20" t="str">
        <x:v>с</x:v>
      </x:c>
      <x:c r="C59" s="24" t="n">
        <x:v>0.25</x:v>
      </x:c>
      <x:c r="D59" s="24" t="n">
        <x:v>0.25</x:v>
      </x:c>
      <x:c r="E59" s="20" t="str">
        <x:v>number</x:v>
      </x:c>
    </x:row>
    <x:row r="60" ht="23" customHeight="1">
      <x:c r="A60" s="20" t="str">
        <x:v>Construction.TrackingCost</x:v>
      </x:c>
      <x:c r="B60" s="20" t="str">
        <x:v>штрихи</x:v>
      </x:c>
      <x:c r="C60" s="26" t="n">
        <x:v>14</x:v>
      </x:c>
      <x:c r="D60" s="26" t="n">
        <x:v>14</x:v>
      </x:c>
      <x:c r="E60" s="20" t="str">
        <x:v>number</x:v>
      </x:c>
    </x:row>
    <x:row r="61" ht="23" customHeight="1">
      <x:c r="A61" s="20" t="str">
        <x:v>Construction.TrackingLoad</x:v>
      </x:c>
      <x:c r="B61" s="20" t="str">
        <x:v>нагрузка</x:v>
      </x:c>
      <x:c r="C61" s="26" t="n">
        <x:v>2</x:v>
      </x:c>
      <x:c r="D61" s="26" t="n">
        <x:v>2</x:v>
      </x:c>
      <x:c r="E61" s="20" t="str">
        <x:v>number</x:v>
      </x:c>
    </x:row>
    <x:row r="62" ht="23" customHeight="1">
      <x:c r="A62" s="20" t="str">
        <x:v>Construction.TrackingUnlockGold</x:v>
      </x:c>
      <x:c r="B62" s="20" t="str">
        <x:v>золото</x:v>
      </x:c>
      <x:c r="C62" s="26" t="n">
        <x:v>60</x:v>
      </x:c>
      <x:c r="D62" s="26" t="n">
        <x:v>60</x:v>
      </x:c>
      <x:c r="E62" s="20" t="str">
        <x:v>number</x:v>
      </x:c>
    </x:row>
    <x:row r="63" ht="23" customHeight="1">
      <x:c r="A63" s="20" t="str">
        <x:v>Construction.WeaponAssemblyCredit</x:v>
      </x:c>
      <x:c r="B63" s="20" t="str">
        <x:v>штрихи</x:v>
      </x:c>
      <x:c r="C63" s="26" t="n">
        <x:v>16</x:v>
      </x:c>
      <x:c r="D63" s="26" t="n">
        <x:v>16</x:v>
      </x:c>
      <x:c r="E63" s="20" t="str">
        <x:v>number</x:v>
      </x:c>
    </x:row>
    <x:row r="64" ht="23" customHeight="1">
      <x:c r="A64" s="20" t="str">
        <x:v>DrawingMaximumRate</x:v>
      </x:c>
      <x:c r="B64" s="20" t="str">
        <x:v>множитель</x:v>
      </x:c>
      <x:c r="C64" s="26" t="n">
        <x:v>1</x:v>
      </x:c>
      <x:c r="D64" s="26" t="n">
        <x:v>1</x:v>
      </x:c>
      <x:c r="E64" s="20" t="str">
        <x:v>number</x:v>
      </x:c>
    </x:row>
    <x:row r="65" ht="23" customHeight="1">
      <x:c r="A65" s="20" t="str">
        <x:v>DrawingMinimumRate</x:v>
      </x:c>
      <x:c r="B65" s="20" t="str">
        <x:v>множитель</x:v>
      </x:c>
      <x:c r="C65" s="24" t="n">
        <x:v>0.8500000238418579</x:v>
      </x:c>
      <x:c r="D65" s="24" t="n">
        <x:v>0.8500000238418579</x:v>
      </x:c>
      <x:c r="E65" s="20" t="str">
        <x:v>number</x:v>
      </x:c>
    </x:row>
    <x:row r="66" ht="23" customHeight="1">
      <x:c r="A66" s="20" t="str">
        <x:v>EarlyLaunchInkPerSecond</x:v>
      </x:c>
      <x:c r="B66" s="20" t="str">
        <x:v>штрихи/с</x:v>
      </x:c>
      <x:c r="C66" s="24" t="n">
        <x:v>0.800000011920929</x:v>
      </x:c>
      <x:c r="D66" s="24" t="n">
        <x:v>0</x:v>
      </x:c>
      <x:c r="E66" s="20" t="str">
        <x:v>number</x:v>
      </x:c>
    </x:row>
    <x:row r="67" ht="23" customHeight="1">
      <x:c r="A67" s="20" t="str">
        <x:v>Effects.BlueDuration</x:v>
      </x:c>
      <x:c r="B67" s="20" t="str">
        <x:v>с</x:v>
      </x:c>
      <x:c r="C67" s="26" t="n">
        <x:v>3</x:v>
      </x:c>
      <x:c r="D67" s="26" t="n">
        <x:v>3</x:v>
      </x:c>
      <x:c r="E67" s="20" t="str">
        <x:v>number</x:v>
      </x:c>
    </x:row>
    <x:row r="68" ht="23" customHeight="1">
      <x:c r="A68" s="20" t="str">
        <x:v>Effects.BlueSpeedMultiplier</x:v>
      </x:c>
      <x:c r="B68" s="20" t="str">
        <x:v>множитель</x:v>
      </x:c>
      <x:c r="C68" s="24" t="n">
        <x:v>0.6499999761581421</x:v>
      </x:c>
      <x:c r="D68" s="24" t="n">
        <x:v>0.6499999761581421</x:v>
      </x:c>
      <x:c r="E68" s="20" t="str">
        <x:v>number</x:v>
      </x:c>
    </x:row>
    <x:row r="69" ht="23" customHeight="1">
      <x:c r="A69" s="20" t="str">
        <x:v>Effects.ColorTargetsPerWindow</x:v>
      </x:c>
      <x:c r="B69" s="20" t="str">
        <x:v>цели</x:v>
      </x:c>
      <x:c r="C69" s="26" t="n">
        <x:v>3</x:v>
      </x:c>
      <x:c r="D69" s="26" t="n">
        <x:v>3</x:v>
      </x:c>
      <x:c r="E69" s="20" t="str">
        <x:v>number</x:v>
      </x:c>
    </x:row>
    <x:row r="70" ht="23" customHeight="1">
      <x:c r="A70" s="20" t="str">
        <x:v>Effects.ColorWindowSeconds</x:v>
      </x:c>
      <x:c r="B70" s="20" t="str">
        <x:v>с</x:v>
      </x:c>
      <x:c r="C70" s="26" t="n">
        <x:v>1</x:v>
      </x:c>
      <x:c r="D70" s="26" t="n">
        <x:v>1</x:v>
      </x:c>
      <x:c r="E70" s="20" t="str">
        <x:v>number</x:v>
      </x:c>
    </x:row>
    <x:row r="71" ht="23" customHeight="1">
      <x:c r="A71" s="20" t="str">
        <x:v>Effects.GreenDefenseReduction</x:v>
      </x:c>
      <x:c r="B71" s="20" t="str">
        <x:v>доля</x:v>
      </x:c>
      <x:c r="C71" s="24" t="n">
        <x:v>0.20000000298023224</x:v>
      </x:c>
      <x:c r="D71" s="24" t="n">
        <x:v>0.20000000298023224</x:v>
      </x:c>
      <x:c r="E71" s="20" t="str">
        <x:v>number</x:v>
      </x:c>
    </x:row>
    <x:row r="72" ht="23" customHeight="1">
      <x:c r="A72" s="20" t="str">
        <x:v>Effects.GreenDuration</x:v>
      </x:c>
      <x:c r="B72" s="20" t="str">
        <x:v>с</x:v>
      </x:c>
      <x:c r="C72" s="26" t="n">
        <x:v>3</x:v>
      </x:c>
      <x:c r="D72" s="26" t="n">
        <x:v>3</x:v>
      </x:c>
      <x:c r="E72" s="20" t="str">
        <x:v>number</x:v>
      </x:c>
    </x:row>
    <x:row r="73" ht="23" customHeight="1">
      <x:c r="A73" s="20" t="str">
        <x:v>Effects.HatchedDefense</x:v>
      </x:c>
      <x:c r="B73" s="20" t="str">
        <x:v>доля</x:v>
      </x:c>
      <x:c r="C73" s="24" t="n">
        <x:v>0.15000000596046448</x:v>
      </x:c>
      <x:c r="D73" s="24" t="n">
        <x:v>0.15000000596046448</x:v>
      </x:c>
      <x:c r="E73" s="20" t="str">
        <x:v>number</x:v>
      </x:c>
    </x:row>
    <x:row r="74" ht="23" customHeight="1">
      <x:c r="A74" s="20" t="str">
        <x:v>Effects.HatchedHealthMultiplier</x:v>
      </x:c>
      <x:c r="B74" s="20" t="str">
        <x:v>множитель</x:v>
      </x:c>
      <x:c r="C74" s="24" t="n">
        <x:v>1.7000000476837158</x:v>
      </x:c>
      <x:c r="D74" s="24" t="n">
        <x:v>1.7000000476837158</x:v>
      </x:c>
      <x:c r="E74" s="20" t="str">
        <x:v>number</x:v>
      </x:c>
    </x:row>
    <x:row r="75" ht="23" customHeight="1">
      <x:c r="A75" s="20" t="str">
        <x:v>Effects.LimitTowerColor</x:v>
      </x:c>
      <x:c r="B75" s="20" t="str">
        <x:v>bool</x:v>
      </x:c>
      <x:c r="C75" s="24" t="str">
        <x:v>Выкл.</x:v>
      </x:c>
      <x:c r="D75" s="24" t="str">
        <x:v>Вкл.</x:v>
      </x:c>
      <x:c r="E75" s="20" t="str">
        <x:v>bool</x:v>
      </x:c>
    </x:row>
    <x:row r="76" ht="23" customHeight="1">
      <x:c r="A76" s="20" t="str">
        <x:v>Effects.MaximumDefense</x:v>
      </x:c>
      <x:c r="B76" s="20" t="str">
        <x:v>доля</x:v>
      </x:c>
      <x:c r="C76" s="24" t="n">
        <x:v>0.949999988079071</x:v>
      </x:c>
      <x:c r="D76" s="24" t="n">
        <x:v>0.6000000238418579</x:v>
      </x:c>
      <x:c r="E76" s="20" t="str">
        <x:v>number</x:v>
      </x:c>
    </x:row>
    <x:row r="77" ht="23" customHeight="1">
      <x:c r="A77" s="20" t="str">
        <x:v>Effects.OutlinedDefense</x:v>
      </x:c>
      <x:c r="B77" s="20" t="str">
        <x:v>доля</x:v>
      </x:c>
      <x:c r="C77" s="24" t="n">
        <x:v>0.07999999821186066</x:v>
      </x:c>
      <x:c r="D77" s="24" t="n">
        <x:v>0.07999999821186066</x:v>
      </x:c>
      <x:c r="E77" s="20" t="str">
        <x:v>number</x:v>
      </x:c>
    </x:row>
    <x:row r="78" ht="23" customHeight="1">
      <x:c r="A78" s="20" t="str">
        <x:v>Effects.OutlinedHealthMultiplier</x:v>
      </x:c>
      <x:c r="B78" s="20" t="str">
        <x:v>множитель</x:v>
      </x:c>
      <x:c r="C78" s="24" t="n">
        <x:v>1.2999999523162842</x:v>
      </x:c>
      <x:c r="D78" s="24" t="n">
        <x:v>1.2999999523162842</x:v>
      </x:c>
      <x:c r="E78" s="20" t="str">
        <x:v>number</x:v>
      </x:c>
    </x:row>
    <x:row r="79" ht="23" customHeight="1">
      <x:c r="A79" s="20" t="str">
        <x:v>Effects.RedDamagePerTick</x:v>
      </x:c>
      <x:c r="B79" s="20" t="str">
        <x:v>HP/тик</x:v>
      </x:c>
      <x:c r="C79" s="26" t="n">
        <x:v>1</x:v>
      </x:c>
      <x:c r="D79" s="26" t="n">
        <x:v>1</x:v>
      </x:c>
      <x:c r="E79" s="20" t="str">
        <x:v>number</x:v>
      </x:c>
    </x:row>
    <x:row r="80" ht="23" customHeight="1">
      <x:c r="A80" s="20" t="str">
        <x:v>Effects.RedDuration</x:v>
      </x:c>
      <x:c r="B80" s="20" t="str">
        <x:v>с</x:v>
      </x:c>
      <x:c r="C80" s="26" t="n">
        <x:v>3</x:v>
      </x:c>
      <x:c r="D80" s="26" t="n">
        <x:v>3</x:v>
      </x:c>
      <x:c r="E80" s="20" t="str">
        <x:v>number</x:v>
      </x:c>
    </x:row>
    <x:row r="81" ht="23" customHeight="1">
      <x:c r="A81" s="20" t="str">
        <x:v>Effects.RedIgnoresDefense</x:v>
      </x:c>
      <x:c r="B81" s="20" t="str">
        <x:v>bool</x:v>
      </x:c>
      <x:c r="C81" s="24" t="str">
        <x:v>Вкл.</x:v>
      </x:c>
      <x:c r="D81" s="24" t="str">
        <x:v>Вкл.</x:v>
      </x:c>
      <x:c r="E81" s="20" t="str">
        <x:v>bool</x:v>
      </x:c>
    </x:row>
    <x:row r="82" ht="23" customHeight="1">
      <x:c r="A82" s="20" t="str">
        <x:v>Effects.RedTickSeconds</x:v>
      </x:c>
      <x:c r="B82" s="20" t="str">
        <x:v>с</x:v>
      </x:c>
      <x:c r="C82" s="24" t="n">
        <x:v>0.25</x:v>
      </x:c>
      <x:c r="D82" s="24" t="n">
        <x:v>0.25</x:v>
      </x:c>
      <x:c r="E82" s="20" t="str">
        <x:v>number</x:v>
      </x:c>
    </x:row>
    <x:row r="83" ht="23" customHeight="1">
      <x:c r="A83" s="20" t="str">
        <x:v>EnableEnemyMechanics</x:v>
      </x:c>
      <x:c r="B83" s="20" t="str">
        <x:v>bool</x:v>
      </x:c>
      <x:c r="C83" s="24" t="str">
        <x:v>Вкл.</x:v>
      </x:c>
      <x:c r="D83" s="24" t="str">
        <x:v>Вкл.</x:v>
      </x:c>
      <x:c r="E83" s="20" t="str">
        <x:v>bool</x:v>
      </x:c>
    </x:row>
    <x:row r="84" ht="23" customHeight="1">
      <x:c r="A84" s="20" t="str">
        <x:v>EnableInkWells</x:v>
      </x:c>
      <x:c r="B84" s="20" t="str">
        <x:v>bool</x:v>
      </x:c>
      <x:c r="C84" s="24" t="str">
        <x:v>Вкл.</x:v>
      </x:c>
      <x:c r="D84" s="24" t="str">
        <x:v>Вкл.</x:v>
      </x:c>
      <x:c r="E84" s="20" t="str">
        <x:v>bool</x:v>
      </x:c>
    </x:row>
    <x:row r="85" ht="23" customHeight="1">
      <x:c r="A85" s="20" t="str">
        <x:v>EnemyDefinitions[0].AttackInterval</x:v>
      </x:c>
      <x:c r="B85" s="20" t="str">
        <x:v>с</x:v>
      </x:c>
      <x:c r="C85" s="24" t="n">
        <x:v>1.100000023841858</x:v>
      </x:c>
      <x:c r="D85" s="24" t="n">
        <x:v>1.100000023841858</x:v>
      </x:c>
      <x:c r="E85" s="20" t="str">
        <x:v>number</x:v>
      </x:c>
    </x:row>
    <x:row r="86" ht="23" customHeight="1">
      <x:c r="A86" s="20" t="str">
        <x:v>EnemyDefinitions[0].Damage</x:v>
      </x:c>
      <x:c r="B86" s="20" t="str">
        <x:v>HP/попадание</x:v>
      </x:c>
      <x:c r="C86" s="26" t="n">
        <x:v>6</x:v>
      </x:c>
      <x:c r="D86" s="26" t="n">
        <x:v>6</x:v>
      </x:c>
      <x:c r="E86" s="20" t="str">
        <x:v>number</x:v>
      </x:c>
    </x:row>
    <x:row r="87" ht="23" customHeight="1">
      <x:c r="A87" s="20" t="str">
        <x:v>EnemyDefinitions[0].Kind</x:v>
      </x:c>
      <x:c r="B87" s="20" t="str">
        <x:v>enum</x:v>
      </x:c>
      <x:c r="C87" s="24" t="str">
        <x:v>Doodle</x:v>
      </x:c>
      <x:c r="D87" s="24" t="str">
        <x:v>Doodle</x:v>
      </x:c>
      <x:c r="E87" s="20" t="str">
        <x:v>enum</x:v>
      </x:c>
    </x:row>
    <x:row r="88" ht="23" customHeight="1">
      <x:c r="A88" s="20" t="str">
        <x:v>EnemyDefinitions[0].MaxHealth</x:v>
      </x:c>
      <x:c r="B88" s="20" t="str">
        <x:v>HP</x:v>
      </x:c>
      <x:c r="C88" s="26" t="n">
        <x:v>22</x:v>
      </x:c>
      <x:c r="D88" s="26" t="n">
        <x:v>22</x:v>
      </x:c>
      <x:c r="E88" s="20" t="str">
        <x:v>number</x:v>
      </x:c>
    </x:row>
    <x:row r="89" ht="23" customHeight="1">
      <x:c r="A89" s="20" t="str">
        <x:v>EnemyDefinitions[0].ProjectileSeconds</x:v>
      </x:c>
      <x:c r="B89" s="20" t="str">
        <x:v>с</x:v>
      </x:c>
      <x:c r="C89" s="24" t="n">
        <x:v>0.6499999761581421</x:v>
      </x:c>
      <x:c r="D89" s="24" t="n">
        <x:v>0.6499999761581421</x:v>
      </x:c>
      <x:c r="E89" s="20" t="str">
        <x:v>number</x:v>
      </x:c>
    </x:row>
    <x:row r="90" ht="23" customHeight="1">
      <x:c r="A90" s="20" t="str">
        <x:v>EnemyDefinitions[0].Range</x:v>
      </x:c>
      <x:c r="B90" s="20" t="str">
        <x:v>клетки</x:v>
      </x:c>
      <x:c r="C90" s="24" t="n">
        <x:v>12.5</x:v>
      </x:c>
      <x:c r="D90" s="24" t="n">
        <x:v>12.5</x:v>
      </x:c>
      <x:c r="E90" s="20" t="str">
        <x:v>number</x:v>
      </x:c>
    </x:row>
    <x:row r="91" ht="23" customHeight="1">
      <x:c r="A91" s="20" t="str">
        <x:v>EnemyDefinitions[0].Reward</x:v>
      </x:c>
      <x:c r="B91" s="20" t="str">
        <x:v>штрихи</x:v>
      </x:c>
      <x:c r="C91" s="26" t="n">
        <x:v>1</x:v>
      </x:c>
      <x:c r="D91" s="26" t="n">
        <x:v>1</x:v>
      </x:c>
      <x:c r="E91" s="20" t="str">
        <x:v>number</x:v>
      </x:c>
    </x:row>
    <x:row r="92" ht="23" customHeight="1">
      <x:c r="A92" s="20" t="str">
        <x:v>EnemyDefinitions[0].Speed</x:v>
      </x:c>
      <x:c r="B92" s="20" t="str">
        <x:v>клетки/с</x:v>
      </x:c>
      <x:c r="C92" s="24" t="n">
        <x:v>2.0999999046325684</x:v>
      </x:c>
      <x:c r="D92" s="24" t="n">
        <x:v>2.0999999046325684</x:v>
      </x:c>
      <x:c r="E92" s="20" t="str">
        <x:v>number</x:v>
      </x:c>
    </x:row>
    <x:row r="93" ht="23" customHeight="1">
      <x:c r="A93" s="20" t="str">
        <x:v>EnemyDefinitions[0].StructureDamageMultiplier</x:v>
      </x:c>
      <x:c r="B93" s="20" t="str">
        <x:v>множитель</x:v>
      </x:c>
      <x:c r="C93" s="26" t="n">
        <x:v>1</x:v>
      </x:c>
      <x:c r="D93" s="26" t="n">
        <x:v>1</x:v>
      </x:c>
      <x:c r="E93" s="20" t="str">
        <x:v>number</x:v>
      </x:c>
    </x:row>
    <x:row r="94" ht="23" customHeight="1">
      <x:c r="A94" s="20" t="str">
        <x:v>EnemyDefinitions[0].WindupSeconds</x:v>
      </x:c>
      <x:c r="B94" s="20" t="str">
        <x:v>с</x:v>
      </x:c>
      <x:c r="C94" s="24" t="n">
        <x:v>0.800000011920929</x:v>
      </x:c>
      <x:c r="D94" s="24" t="n">
        <x:v>0.800000011920929</x:v>
      </x:c>
      <x:c r="E94" s="20" t="str">
        <x:v>number</x:v>
      </x:c>
    </x:row>
    <x:row r="95" ht="23" customHeight="1">
      <x:c r="A95" s="20" t="str">
        <x:v>EnemyDefinitions[1].AttackInterval</x:v>
      </x:c>
      <x:c r="B95" s="20" t="str">
        <x:v>с</x:v>
      </x:c>
      <x:c r="C95" s="24" t="n">
        <x:v>0.800000011920929</x:v>
      </x:c>
      <x:c r="D95" s="24" t="n">
        <x:v>0.800000011920929</x:v>
      </x:c>
      <x:c r="E95" s="20" t="str">
        <x:v>number</x:v>
      </x:c>
    </x:row>
    <x:row r="96" ht="23" customHeight="1">
      <x:c r="A96" s="20" t="str">
        <x:v>EnemyDefinitions[1].Damage</x:v>
      </x:c>
      <x:c r="B96" s="20" t="str">
        <x:v>HP/попадание</x:v>
      </x:c>
      <x:c r="C96" s="26" t="n">
        <x:v>3</x:v>
      </x:c>
      <x:c r="D96" s="26" t="n">
        <x:v>3</x:v>
      </x:c>
      <x:c r="E96" s="20" t="str">
        <x:v>number</x:v>
      </x:c>
    </x:row>
    <x:row r="97" ht="23" customHeight="1">
      <x:c r="A97" s="20" t="str">
        <x:v>EnemyDefinitions[1].Kind</x:v>
      </x:c>
      <x:c r="B97" s="20" t="str">
        <x:v>enum</x:v>
      </x:c>
      <x:c r="C97" s="24" t="str">
        <x:v>Runner</x:v>
      </x:c>
      <x:c r="D97" s="24" t="str">
        <x:v>Runner</x:v>
      </x:c>
      <x:c r="E97" s="20" t="str">
        <x:v>enum</x:v>
      </x:c>
    </x:row>
    <x:row r="98" ht="23" customHeight="1">
      <x:c r="A98" s="20" t="str">
        <x:v>EnemyDefinitions[1].MaxHealth</x:v>
      </x:c>
      <x:c r="B98" s="20" t="str">
        <x:v>HP</x:v>
      </x:c>
      <x:c r="C98" s="26" t="n">
        <x:v>14</x:v>
      </x:c>
      <x:c r="D98" s="26" t="n">
        <x:v>14</x:v>
      </x:c>
      <x:c r="E98" s="20" t="str">
        <x:v>number</x:v>
      </x:c>
    </x:row>
    <x:row r="99" ht="23" customHeight="1">
      <x:c r="A99" s="20" t="str">
        <x:v>EnemyDefinitions[1].ProjectileSeconds</x:v>
      </x:c>
      <x:c r="B99" s="20" t="str">
        <x:v>с</x:v>
      </x:c>
      <x:c r="C99" s="24" t="n">
        <x:v>0.6499999761581421</x:v>
      </x:c>
      <x:c r="D99" s="24" t="n">
        <x:v>0.6499999761581421</x:v>
      </x:c>
      <x:c r="E99" s="20" t="str">
        <x:v>number</x:v>
      </x:c>
    </x:row>
    <x:row r="100" ht="23" customHeight="1">
      <x:c r="A100" s="20" t="str">
        <x:v>EnemyDefinitions[1].Range</x:v>
      </x:c>
      <x:c r="B100" s="20" t="str">
        <x:v>клетки</x:v>
      </x:c>
      <x:c r="C100" s="24" t="n">
        <x:v>12.5</x:v>
      </x:c>
      <x:c r="D100" s="24" t="n">
        <x:v>12.5</x:v>
      </x:c>
      <x:c r="E100" s="20" t="str">
        <x:v>number</x:v>
      </x:c>
    </x:row>
    <x:row r="101" ht="23" customHeight="1">
      <x:c r="A101" s="20" t="str">
        <x:v>EnemyDefinitions[1].Reward</x:v>
      </x:c>
      <x:c r="B101" s="20" t="str">
        <x:v>штрихи</x:v>
      </x:c>
      <x:c r="C101" s="26" t="n">
        <x:v>1</x:v>
      </x:c>
      <x:c r="D101" s="26" t="n">
        <x:v>1</x:v>
      </x:c>
      <x:c r="E101" s="20" t="str">
        <x:v>number</x:v>
      </x:c>
    </x:row>
    <x:row r="102" ht="23" customHeight="1">
      <x:c r="A102" s="20" t="str">
        <x:v>EnemyDefinitions[1].Speed</x:v>
      </x:c>
      <x:c r="B102" s="20" t="str">
        <x:v>клетки/с</x:v>
      </x:c>
      <x:c r="C102" s="24" t="n">
        <x:v>3.5999999046325684</x:v>
      </x:c>
      <x:c r="D102" s="24" t="n">
        <x:v>3.5999999046325684</x:v>
      </x:c>
      <x:c r="E102" s="20" t="str">
        <x:v>number</x:v>
      </x:c>
    </x:row>
    <x:row r="103" ht="23" customHeight="1">
      <x:c r="A103" s="20" t="str">
        <x:v>EnemyDefinitions[1].StructureDamageMultiplier</x:v>
      </x:c>
      <x:c r="B103" s="20" t="str">
        <x:v>множитель</x:v>
      </x:c>
      <x:c r="C103" s="26" t="n">
        <x:v>1</x:v>
      </x:c>
      <x:c r="D103" s="26" t="n">
        <x:v>1</x:v>
      </x:c>
      <x:c r="E103" s="20" t="str">
        <x:v>number</x:v>
      </x:c>
    </x:row>
    <x:row r="104" ht="23" customHeight="1">
      <x:c r="A104" s="20" t="str">
        <x:v>EnemyDefinitions[1].WindupSeconds</x:v>
      </x:c>
      <x:c r="B104" s="20" t="str">
        <x:v>с</x:v>
      </x:c>
      <x:c r="C104" s="24" t="n">
        <x:v>0.800000011920929</x:v>
      </x:c>
      <x:c r="D104" s="24" t="n">
        <x:v>0.800000011920929</x:v>
      </x:c>
      <x:c r="E104" s="20" t="str">
        <x:v>number</x:v>
      </x:c>
    </x:row>
    <x:row r="105" ht="23" customHeight="1">
      <x:c r="A105" s="20" t="str">
        <x:v>EnemyDefinitions[2].AttackInterval</x:v>
      </x:c>
      <x:c r="B105" s="20" t="str">
        <x:v>с</x:v>
      </x:c>
      <x:c r="C105" s="24" t="n">
        <x:v>0.8999999761581421</x:v>
      </x:c>
      <x:c r="D105" s="24" t="n">
        <x:v>0.8999999761581421</x:v>
      </x:c>
      <x:c r="E105" s="20" t="str">
        <x:v>number</x:v>
      </x:c>
    </x:row>
    <x:row r="106" ht="23" customHeight="1">
      <x:c r="A106" s="20" t="str">
        <x:v>EnemyDefinitions[2].Damage</x:v>
      </x:c>
      <x:c r="B106" s="20" t="str">
        <x:v>HP/попадание</x:v>
      </x:c>
      <x:c r="C106" s="26" t="n">
        <x:v>18</x:v>
      </x:c>
      <x:c r="D106" s="26" t="n">
        <x:v>18</x:v>
      </x:c>
      <x:c r="E106" s="20" t="str">
        <x:v>number</x:v>
      </x:c>
    </x:row>
    <x:row r="107" ht="23" customHeight="1">
      <x:c r="A107" s="20" t="str">
        <x:v>EnemyDefinitions[2].Kind</x:v>
      </x:c>
      <x:c r="B107" s="20" t="str">
        <x:v>enum</x:v>
      </x:c>
      <x:c r="C107" s="24" t="str">
        <x:v>Gnawer</x:v>
      </x:c>
      <x:c r="D107" s="24" t="str">
        <x:v>Gnawer</x:v>
      </x:c>
      <x:c r="E107" s="20" t="str">
        <x:v>enum</x:v>
      </x:c>
    </x:row>
    <x:row r="108" ht="23" customHeight="1">
      <x:c r="A108" s="20" t="str">
        <x:v>EnemyDefinitions[2].MaxHealth</x:v>
      </x:c>
      <x:c r="B108" s="20" t="str">
        <x:v>HP</x:v>
      </x:c>
      <x:c r="C108" s="26" t="n">
        <x:v>95</x:v>
      </x:c>
      <x:c r="D108" s="26" t="n">
        <x:v>95</x:v>
      </x:c>
      <x:c r="E108" s="20" t="str">
        <x:v>number</x:v>
      </x:c>
    </x:row>
    <x:row r="109" ht="23" customHeight="1">
      <x:c r="A109" s="20" t="str">
        <x:v>EnemyDefinitions[2].ProjectileSeconds</x:v>
      </x:c>
      <x:c r="B109" s="20" t="str">
        <x:v>с</x:v>
      </x:c>
      <x:c r="C109" s="24" t="n">
        <x:v>0.6499999761581421</x:v>
      </x:c>
      <x:c r="D109" s="24" t="n">
        <x:v>0.6499999761581421</x:v>
      </x:c>
      <x:c r="E109" s="20" t="str">
        <x:v>number</x:v>
      </x:c>
    </x:row>
    <x:row r="110" ht="23" customHeight="1">
      <x:c r="A110" s="20" t="str">
        <x:v>EnemyDefinitions[2].Range</x:v>
      </x:c>
      <x:c r="B110" s="20" t="str">
        <x:v>клетки</x:v>
      </x:c>
      <x:c r="C110" s="24" t="n">
        <x:v>12.5</x:v>
      </x:c>
      <x:c r="D110" s="24" t="n">
        <x:v>12.5</x:v>
      </x:c>
      <x:c r="E110" s="20" t="str">
        <x:v>number</x:v>
      </x:c>
    </x:row>
    <x:row r="111" ht="23" customHeight="1">
      <x:c r="A111" s="20" t="str">
        <x:v>EnemyDefinitions[2].Reward</x:v>
      </x:c>
      <x:c r="B111" s="20" t="str">
        <x:v>штрихи</x:v>
      </x:c>
      <x:c r="C111" s="26" t="n">
        <x:v>3</x:v>
      </x:c>
      <x:c r="D111" s="26" t="n">
        <x:v>3</x:v>
      </x:c>
      <x:c r="E111" s="20" t="str">
        <x:v>number</x:v>
      </x:c>
    </x:row>
    <x:row r="112" ht="23" customHeight="1">
      <x:c r="A112" s="20" t="str">
        <x:v>EnemyDefinitions[2].Speed</x:v>
      </x:c>
      <x:c r="B112" s="20" t="str">
        <x:v>клетки/с</x:v>
      </x:c>
      <x:c r="C112" s="24" t="n">
        <x:v>1.25</x:v>
      </x:c>
      <x:c r="D112" s="24" t="n">
        <x:v>1.25</x:v>
      </x:c>
      <x:c r="E112" s="20" t="str">
        <x:v>number</x:v>
      </x:c>
    </x:row>
    <x:row r="113" ht="23" customHeight="1">
      <x:c r="A113" s="20" t="str">
        <x:v>EnemyDefinitions[2].StructureDamageMultiplier</x:v>
      </x:c>
      <x:c r="B113" s="20" t="str">
        <x:v>множитель</x:v>
      </x:c>
      <x:c r="C113" s="24" t="n">
        <x:v>1.5</x:v>
      </x:c>
      <x:c r="D113" s="24" t="n">
        <x:v>1.5</x:v>
      </x:c>
      <x:c r="E113" s="20" t="str">
        <x:v>number</x:v>
      </x:c>
    </x:row>
    <x:row r="114" ht="23" customHeight="1">
      <x:c r="A114" s="20" t="str">
        <x:v>EnemyDefinitions[2].WindupSeconds</x:v>
      </x:c>
      <x:c r="B114" s="20" t="str">
        <x:v>с</x:v>
      </x:c>
      <x:c r="C114" s="24" t="n">
        <x:v>0.800000011920929</x:v>
      </x:c>
      <x:c r="D114" s="24" t="n">
        <x:v>0.800000011920929</x:v>
      </x:c>
      <x:c r="E114" s="20" t="str">
        <x:v>number</x:v>
      </x:c>
    </x:row>
    <x:row r="115" ht="23" customHeight="1">
      <x:c r="A115" s="20" t="str">
        <x:v>EnemyDefinitions[3].AttackInterval</x:v>
      </x:c>
      <x:c r="B115" s="20" t="str">
        <x:v>с</x:v>
      </x:c>
      <x:c r="C115" s="24" t="n">
        <x:v>2.4000000953674316</x:v>
      </x:c>
      <x:c r="D115" s="24" t="n">
        <x:v>2.4000000953674316</x:v>
      </x:c>
      <x:c r="E115" s="20" t="str">
        <x:v>number</x:v>
      </x:c>
    </x:row>
    <x:row r="116" ht="23" customHeight="1">
      <x:c r="A116" s="20" t="str">
        <x:v>EnemyDefinitions[3].Damage</x:v>
      </x:c>
      <x:c r="B116" s="20" t="str">
        <x:v>HP/попадание</x:v>
      </x:c>
      <x:c r="C116" s="26" t="n">
        <x:v>10</x:v>
      </x:c>
      <x:c r="D116" s="26" t="n">
        <x:v>10</x:v>
      </x:c>
      <x:c r="E116" s="20" t="str">
        <x:v>number</x:v>
      </x:c>
    </x:row>
    <x:row r="117" ht="23" customHeight="1">
      <x:c r="A117" s="20" t="str">
        <x:v>EnemyDefinitions[3].Kind</x:v>
      </x:c>
      <x:c r="B117" s="20" t="str">
        <x:v>enum</x:v>
      </x:c>
      <x:c r="C117" s="24" t="str">
        <x:v>Spitter</x:v>
      </x:c>
      <x:c r="D117" s="24" t="str">
        <x:v>Spitter</x:v>
      </x:c>
      <x:c r="E117" s="20" t="str">
        <x:v>enum</x:v>
      </x:c>
    </x:row>
    <x:row r="118" ht="23" customHeight="1">
      <x:c r="A118" s="20" t="str">
        <x:v>EnemyDefinitions[3].MaxHealth</x:v>
      </x:c>
      <x:c r="B118" s="20" t="str">
        <x:v>HP</x:v>
      </x:c>
      <x:c r="C118" s="26" t="n">
        <x:v>35</x:v>
      </x:c>
      <x:c r="D118" s="26" t="n">
        <x:v>35</x:v>
      </x:c>
      <x:c r="E118" s="20" t="str">
        <x:v>number</x:v>
      </x:c>
    </x:row>
    <x:row r="119" ht="23" customHeight="1">
      <x:c r="A119" s="20" t="str">
        <x:v>EnemyDefinitions[3].ProjectileSeconds</x:v>
      </x:c>
      <x:c r="B119" s="20" t="str">
        <x:v>с</x:v>
      </x:c>
      <x:c r="C119" s="24" t="n">
        <x:v>0.6499999761581421</x:v>
      </x:c>
      <x:c r="D119" s="24" t="n">
        <x:v>0.6499999761581421</x:v>
      </x:c>
      <x:c r="E119" s="20" t="str">
        <x:v>number</x:v>
      </x:c>
    </x:row>
    <x:row r="120" ht="23" customHeight="1">
      <x:c r="A120" s="20" t="str">
        <x:v>EnemyDefinitions[3].Range</x:v>
      </x:c>
      <x:c r="B120" s="20" t="str">
        <x:v>клетки</x:v>
      </x:c>
      <x:c r="C120" s="24" t="n">
        <x:v>12.5</x:v>
      </x:c>
      <x:c r="D120" s="24" t="n">
        <x:v>12.5</x:v>
      </x:c>
      <x:c r="E120" s="20" t="str">
        <x:v>number</x:v>
      </x:c>
    </x:row>
    <x:row r="121" ht="23" customHeight="1">
      <x:c r="A121" s="20" t="str">
        <x:v>EnemyDefinitions[3].Reward</x:v>
      </x:c>
      <x:c r="B121" s="20" t="str">
        <x:v>штрихи</x:v>
      </x:c>
      <x:c r="C121" s="26" t="n">
        <x:v>2</x:v>
      </x:c>
      <x:c r="D121" s="26" t="n">
        <x:v>2</x:v>
      </x:c>
      <x:c r="E121" s="20" t="str">
        <x:v>number</x:v>
      </x:c>
    </x:row>
    <x:row r="122" ht="23" customHeight="1">
      <x:c r="A122" s="20" t="str">
        <x:v>EnemyDefinitions[3].Speed</x:v>
      </x:c>
      <x:c r="B122" s="20" t="str">
        <x:v>клетки/с</x:v>
      </x:c>
      <x:c r="C122" s="24" t="n">
        <x:v>1.7000000476837158</x:v>
      </x:c>
      <x:c r="D122" s="24" t="n">
        <x:v>1.7000000476837158</x:v>
      </x:c>
      <x:c r="E122" s="20" t="str">
        <x:v>number</x:v>
      </x:c>
    </x:row>
    <x:row r="123" ht="23" customHeight="1">
      <x:c r="A123" s="20" t="str">
        <x:v>EnemyDefinitions[3].StructureDamageMultiplier</x:v>
      </x:c>
      <x:c r="B123" s="20" t="str">
        <x:v>множитель</x:v>
      </x:c>
      <x:c r="C123" s="26" t="n">
        <x:v>1</x:v>
      </x:c>
      <x:c r="D123" s="26" t="n">
        <x:v>1</x:v>
      </x:c>
      <x:c r="E123" s="20" t="str">
        <x:v>number</x:v>
      </x:c>
    </x:row>
    <x:row r="124" ht="23" customHeight="1">
      <x:c r="A124" s="20" t="str">
        <x:v>EnemyDefinitions[3].WindupSeconds</x:v>
      </x:c>
      <x:c r="B124" s="20" t="str">
        <x:v>с</x:v>
      </x:c>
      <x:c r="C124" s="24" t="n">
        <x:v>0.800000011920929</x:v>
      </x:c>
      <x:c r="D124" s="24" t="n">
        <x:v>0.800000011920929</x:v>
      </x:c>
      <x:c r="E124" s="20" t="str">
        <x:v>number</x:v>
      </x:c>
    </x:row>
    <x:row r="125" ht="23" customHeight="1">
      <x:c r="A125" s="20" t="str">
        <x:v>Height</x:v>
      </x:c>
      <x:c r="B125" s="20" t="str">
        <x:v>клетки</x:v>
      </x:c>
      <x:c r="C125" s="26" t="n">
        <x:v>64</x:v>
      </x:c>
      <x:c r="D125" s="26" t="n">
        <x:v>64</x:v>
      </x:c>
      <x:c r="E125" s="20" t="str">
        <x:v>number</x:v>
      </x:c>
    </x:row>
    <x:row r="126" ht="23" customHeight="1">
      <x:c r="A126" s="20" t="str">
        <x:v>IntermissionSeconds</x:v>
      </x:c>
      <x:c r="B126" s="20" t="str">
        <x:v>с</x:v>
      </x:c>
      <x:c r="C126" s="26" t="n">
        <x:v>20</x:v>
      </x:c>
      <x:c r="D126" s="26" t="n">
        <x:v>20</x:v>
      </x:c>
      <x:c r="E126" s="20" t="str">
        <x:v>number</x:v>
      </x:c>
    </x:row>
    <x:row r="127" ht="23" customHeight="1">
      <x:c r="A127" s="20" t="str">
        <x:v>MaterialDefinitions[0].BuildTimeMultiplier</x:v>
      </x:c>
      <x:c r="B127" s="20" t="str">
        <x:v>множитель</x:v>
      </x:c>
      <x:c r="C127" s="26" t="n">
        <x:v>1</x:v>
      </x:c>
      <x:c r="D127" s="26" t="n">
        <x:v>1</x:v>
      </x:c>
      <x:c r="E127" s="20" t="str">
        <x:v>number</x:v>
      </x:c>
    </x:row>
    <x:row r="128" ht="23" customHeight="1">
      <x:c r="A128" s="20" t="str">
        <x:v>MaterialDefinitions[0].CostMultiplier</x:v>
      </x:c>
      <x:c r="B128" s="20" t="str">
        <x:v>множитель</x:v>
      </x:c>
      <x:c r="C128" s="26" t="n">
        <x:v>1</x:v>
      </x:c>
      <x:c r="D128" s="26" t="n">
        <x:v>1</x:v>
      </x:c>
      <x:c r="E128" s="20" t="str">
        <x:v>number</x:v>
      </x:c>
    </x:row>
    <x:row r="129" ht="23" customHeight="1">
      <x:c r="A129" s="20" t="str">
        <x:v>MaterialDefinitions[0].DamageMultiplier</x:v>
      </x:c>
      <x:c r="B129" s="20" t="str">
        <x:v>множитель</x:v>
      </x:c>
      <x:c r="C129" s="26" t="n">
        <x:v>1</x:v>
      </x:c>
      <x:c r="D129" s="26" t="n">
        <x:v>1</x:v>
      </x:c>
      <x:c r="E129" s="20" t="str">
        <x:v>number</x:v>
      </x:c>
    </x:row>
    <x:row r="130" ht="23" customHeight="1">
      <x:c r="A130" s="20" t="str">
        <x:v>MaterialDefinitions[0].HealthMultiplier</x:v>
      </x:c>
      <x:c r="B130" s="20" t="str">
        <x:v>множитель</x:v>
      </x:c>
      <x:c r="C130" s="26" t="n">
        <x:v>1</x:v>
      </x:c>
      <x:c r="D130" s="26" t="n">
        <x:v>1</x:v>
      </x:c>
      <x:c r="E130" s="20" t="str">
        <x:v>number</x:v>
      </x:c>
    </x:row>
    <x:row r="131" ht="23" customHeight="1">
      <x:c r="A131" s="20" t="str">
        <x:v>MaterialDefinitions[0].RefundFraction</x:v>
      </x:c>
      <x:c r="B131" s="20" t="str">
        <x:v>доля</x:v>
      </x:c>
      <x:c r="C131" s="24" t="n">
        <x:v>0.800000011920929</x:v>
      </x:c>
      <x:c r="D131" s="24" t="n">
        <x:v>0.800000011920929</x:v>
      </x:c>
      <x:c r="E131" s="20" t="str">
        <x:v>number</x:v>
      </x:c>
    </x:row>
    <x:row r="132" ht="23" customHeight="1">
      <x:c r="A132" s="20" t="str">
        <x:v>MaterialDefinitions[1].BuildTimeMultiplier</x:v>
      </x:c>
      <x:c r="B132" s="20" t="str">
        <x:v>множитель</x:v>
      </x:c>
      <x:c r="C132" s="24" t="n">
        <x:v>1.2999999523162842</x:v>
      </x:c>
      <x:c r="D132" s="24" t="n">
        <x:v>1.2999999523162842</x:v>
      </x:c>
      <x:c r="E132" s="20" t="str">
        <x:v>number</x:v>
      </x:c>
    </x:row>
    <x:row r="133" ht="23" customHeight="1">
      <x:c r="A133" s="20" t="str">
        <x:v>MaterialDefinitions[1].CostMultiplier</x:v>
      </x:c>
      <x:c r="B133" s="20" t="str">
        <x:v>множитель</x:v>
      </x:c>
      <x:c r="C133" s="24" t="n">
        <x:v>1.7999999523162842</x:v>
      </x:c>
      <x:c r="D133" s="24" t="n">
        <x:v>1.7999999523162842</x:v>
      </x:c>
      <x:c r="E133" s="20" t="str">
        <x:v>number</x:v>
      </x:c>
    </x:row>
    <x:row r="134" ht="23" customHeight="1">
      <x:c r="A134" s="20" t="str">
        <x:v>MaterialDefinitions[1].DamageMultiplier</x:v>
      </x:c>
      <x:c r="B134" s="20" t="str">
        <x:v>множитель</x:v>
      </x:c>
      <x:c r="C134" s="24" t="n">
        <x:v>1.25</x:v>
      </x:c>
      <x:c r="D134" s="24" t="n">
        <x:v>1</x:v>
      </x:c>
      <x:c r="E134" s="20" t="str">
        <x:v>number</x:v>
      </x:c>
    </x:row>
    <x:row r="135" ht="23" customHeight="1">
      <x:c r="A135" s="20" t="str">
        <x:v>MaterialDefinitions[1].HealthMultiplier</x:v>
      </x:c>
      <x:c r="B135" s="20" t="str">
        <x:v>множитель</x:v>
      </x:c>
      <x:c r="C135" s="24" t="n">
        <x:v>2.0999999046325684</x:v>
      </x:c>
      <x:c r="D135" s="24" t="n">
        <x:v>2.0999999046325684</x:v>
      </x:c>
      <x:c r="E135" s="20" t="str">
        <x:v>number</x:v>
      </x:c>
    </x:row>
    <x:row r="136" ht="23" customHeight="1">
      <x:c r="A136" s="20" t="str">
        <x:v>MaterialDefinitions[1].RefundFraction</x:v>
      </x:c>
      <x:c r="B136" s="20" t="str">
        <x:v>доля</x:v>
      </x:c>
      <x:c r="C136" s="24" t="n">
        <x:v>0.4000000059604645</x:v>
      </x:c>
      <x:c r="D136" s="24" t="n">
        <x:v>0.4000000059604645</x:v>
      </x:c>
      <x:c r="E136" s="20" t="str">
        <x:v>number</x:v>
      </x:c>
    </x:row>
    <x:row r="137" ht="23" customHeight="1">
      <x:c r="A137" s="20" t="str">
        <x:v>MaterialDefinitions[2].BuildTimeMultiplier</x:v>
      </x:c>
      <x:c r="B137" s="20" t="str">
        <x:v>множитель</x:v>
      </x:c>
      <x:c r="C137" s="24" t="n">
        <x:v>1.75</x:v>
      </x:c>
      <x:c r="D137" s="24" t="n">
        <x:v>1.75</x:v>
      </x:c>
      <x:c r="E137" s="20" t="str">
        <x:v>number</x:v>
      </x:c>
    </x:row>
    <x:row r="138" ht="23" customHeight="1">
      <x:c r="A138" s="20" t="str">
        <x:v>MaterialDefinitions[2].CostMultiplier</x:v>
      </x:c>
      <x:c r="B138" s="20" t="str">
        <x:v>множитель</x:v>
      </x:c>
      <x:c r="C138" s="24" t="n">
        <x:v>3.200000047683716</x:v>
      </x:c>
      <x:c r="D138" s="24" t="n">
        <x:v>3.200000047683716</x:v>
      </x:c>
      <x:c r="E138" s="20" t="str">
        <x:v>number</x:v>
      </x:c>
    </x:row>
    <x:row r="139" ht="23" customHeight="1">
      <x:c r="A139" s="20" t="str">
        <x:v>MaterialDefinitions[2].DamageMultiplier</x:v>
      </x:c>
      <x:c r="B139" s="20" t="str">
        <x:v>множитель</x:v>
      </x:c>
      <x:c r="C139" s="24" t="n">
        <x:v>1.600000023841858</x:v>
      </x:c>
      <x:c r="D139" s="24" t="n">
        <x:v>1</x:v>
      </x:c>
      <x:c r="E139" s="20" t="str">
        <x:v>number</x:v>
      </x:c>
    </x:row>
    <x:row r="140" ht="23" customHeight="1">
      <x:c r="A140" s="20" t="str">
        <x:v>MaterialDefinitions[2].HealthMultiplier</x:v>
      </x:c>
      <x:c r="B140" s="20" t="str">
        <x:v>множитель</x:v>
      </x:c>
      <x:c r="C140" s="24" t="n">
        <x:v>4.199999809265137</x:v>
      </x:c>
      <x:c r="D140" s="24" t="n">
        <x:v>4.199999809265137</x:v>
      </x:c>
      <x:c r="E140" s="20" t="str">
        <x:v>number</x:v>
      </x:c>
    </x:row>
    <x:row r="141" ht="23" customHeight="1">
      <x:c r="A141" s="20" t="str">
        <x:v>MaterialDefinitions[2].RefundFraction</x:v>
      </x:c>
      <x:c r="B141" s="20" t="str">
        <x:v>доля</x:v>
      </x:c>
      <x:c r="C141" s="24" t="n">
        <x:v>0.20000000298023224</x:v>
      </x:c>
      <x:c r="D141" s="24" t="n">
        <x:v>0.20000000298023224</x:v>
      </x:c>
      <x:c r="E141" s="20" t="str">
        <x:v>number</x:v>
      </x:c>
    </x:row>
    <x:row r="142" ht="23" customHeight="1">
      <x:c r="A142" s="20" t="str">
        <x:v>MaxEarlyLaunchInk</x:v>
      </x:c>
      <x:c r="B142" s="20" t="str">
        <x:v>штрихи</x:v>
      </x:c>
      <x:c r="C142" s="26" t="n">
        <x:v>30</x:v>
      </x:c>
      <x:c r="D142" s="26" t="n">
        <x:v>0</x:v>
      </x:c>
      <x:c r="E142" s="20" t="str">
        <x:v>number</x:v>
      </x:c>
    </x:row>
    <x:row r="143" ht="23" customHeight="1">
      <x:c r="A143" s="20" t="str">
        <x:v>MaxEnemiesPerCell</x:v>
      </x:c>
      <x:c r="B143" s="20" t="str">
        <x:v>ед.</x:v>
      </x:c>
      <x:c r="C143" s="26" t="n">
        <x:v>6</x:v>
      </x:c>
      <x:c r="D143" s="26" t="n">
        <x:v>6</x:v>
      </x:c>
      <x:c r="E143" s="20" t="str">
        <x:v>number</x:v>
      </x:c>
    </x:row>
    <x:row r="144" ht="23" customHeight="1">
      <x:c r="A144" s="20" t="str">
        <x:v>Mechanics.ColorCartridges</x:v>
      </x:c>
      <x:c r="B144" s="20" t="str">
        <x:v>bool</x:v>
      </x:c>
      <x:c r="C144" s="24" t="str">
        <x:v>Вкл.</x:v>
      </x:c>
      <x:c r="D144" s="24" t="str">
        <x:v>Вкл.</x:v>
      </x:c>
      <x:c r="E144" s="20" t="str">
        <x:v>bool</x:v>
      </x:c>
    </x:row>
    <x:row r="145" ht="23" customHeight="1">
      <x:c r="A145" s="20" t="str">
        <x:v>Mechanics.CorpseBlots</x:v>
      </x:c>
      <x:c r="B145" s="20" t="str">
        <x:v>bool</x:v>
      </x:c>
      <x:c r="C145" s="24" t="str">
        <x:v>Вкл.</x:v>
      </x:c>
      <x:c r="D145" s="24" t="str">
        <x:v>Вкл.</x:v>
      </x:c>
      <x:c r="E145" s="20" t="str">
        <x:v>bool</x:v>
      </x:c>
    </x:row>
    <x:row r="146" ht="23" customHeight="1">
      <x:c r="A146" s="20" t="str">
        <x:v>Mechanics.DrawingQuality</x:v>
      </x:c>
      <x:c r="B146" s="20" t="str">
        <x:v>bool</x:v>
      </x:c>
      <x:c r="C146" s="24" t="str">
        <x:v>Вкл.</x:v>
      </x:c>
      <x:c r="D146" s="24" t="str">
        <x:v>Вкл.</x:v>
      </x:c>
      <x:c r="E146" s="20" t="str">
        <x:v>bool</x:v>
      </x:c>
    </x:row>
    <x:row r="147" ht="23" customHeight="1">
      <x:c r="A147" s="20" t="str">
        <x:v>Mechanics.EnemyDrawingTiers</x:v>
      </x:c>
      <x:c r="B147" s="20" t="str">
        <x:v>bool</x:v>
      </x:c>
      <x:c r="C147" s="24" t="str">
        <x:v>Вкл.</x:v>
      </x:c>
      <x:c r="D147" s="24" t="str">
        <x:v>Вкл.</x:v>
      </x:c>
      <x:c r="E147" s="20" t="str">
        <x:v>bool</x:v>
      </x:c>
    </x:row>
    <x:row r="148" ht="23" customHeight="1">
      <x:c r="A148" s="20" t="str">
        <x:v>Mechanics.InkWells</x:v>
      </x:c>
      <x:c r="B148" s="20" t="str">
        <x:v>bool</x:v>
      </x:c>
      <x:c r="C148" s="24" t="str">
        <x:v>Вкл.</x:v>
      </x:c>
      <x:c r="D148" s="24" t="str">
        <x:v>Вкл.</x:v>
      </x:c>
      <x:c r="E148" s="20" t="str">
        <x:v>bool</x:v>
      </x:c>
    </x:row>
    <x:row r="149" ht="23" customHeight="1">
      <x:c r="A149" s="20" t="str">
        <x:v>Mechanics.RangedEnemies</x:v>
      </x:c>
      <x:c r="B149" s="20" t="str">
        <x:v>bool</x:v>
      </x:c>
      <x:c r="C149" s="24" t="str">
        <x:v>Вкл.</x:v>
      </x:c>
      <x:c r="D149" s="24" t="str">
        <x:v>Вкл.</x:v>
      </x:c>
      <x:c r="E149" s="20" t="str">
        <x:v>bool</x:v>
      </x:c>
    </x:row>
    <x:row r="150" ht="23" customHeight="1">
      <x:c r="A150" s="20" t="str">
        <x:v>Mechanics.RunUpgrades</x:v>
      </x:c>
      <x:c r="B150" s="20" t="str">
        <x:v>bool</x:v>
      </x:c>
      <x:c r="C150" s="24" t="str">
        <x:v>Вкл.</x:v>
      </x:c>
      <x:c r="D150" s="24" t="str">
        <x:v>Вкл.</x:v>
      </x:c>
      <x:c r="E150" s="20" t="str">
        <x:v>bool</x:v>
      </x:c>
    </x:row>
    <x:row r="151" ht="23" customHeight="1">
      <x:c r="A151" s="20" t="str">
        <x:v>PassiveInkPerSecond</x:v>
      </x:c>
      <x:c r="B151" s="20" t="str">
        <x:v>штрихи/с</x:v>
      </x:c>
      <x:c r="C151" s="24" t="n">
        <x:v>1.7999999523162842</x:v>
      </x:c>
      <x:c r="D151" s="24" t="n">
        <x:v>0</x:v>
      </x:c>
      <x:c r="E151" s="20" t="str">
        <x:v>number</x:v>
      </x:c>
    </x:row>
    <x:row r="152" ht="23" customHeight="1">
      <x:c r="A152" s="20" t="str">
        <x:v>PlanningSeconds</x:v>
      </x:c>
      <x:c r="B152" s="20" t="str">
        <x:v>с</x:v>
      </x:c>
      <x:c r="C152" s="26" t="n">
        <x:v>35</x:v>
      </x:c>
      <x:c r="D152" s="26" t="n">
        <x:v>35</x:v>
      </x:c>
      <x:c r="E152" s="20" t="str">
        <x:v>number</x:v>
      </x:c>
    </x:row>
    <x:row r="153" ht="23" customHeight="1">
      <x:c r="A153" s="20" t="str">
        <x:v>Preset</x:v>
      </x:c>
      <x:c r="B153" s="20" t="str">
        <x:v>enum</x:v>
      </x:c>
      <x:c r="C153" s="24" t="str">
        <x:v>Historical</x:v>
      </x:c>
      <x:c r="D153" s="24" t="str">
        <x:v>Target</x:v>
      </x:c>
      <x:c r="E153" s="20" t="str">
        <x:v>enum</x:v>
      </x:c>
    </x:row>
    <x:row r="154" ht="23" customHeight="1">
      <x:c r="A154" s="20" t="str">
        <x:v>Progression.DeepInkDamageMultiplier</x:v>
      </x:c>
      <x:c r="B154" s="20" t="str">
        <x:v>множитель</x:v>
      </x:c>
      <x:c r="C154" s="24" t="n">
        <x:v>1.1799999475479126</x:v>
      </x:c>
      <x:c r="D154" s="24" t="n">
        <x:v>1.1799999475479126</x:v>
      </x:c>
      <x:c r="E154" s="20" t="str">
        <x:v>number</x:v>
      </x:c>
    </x:row>
    <x:row r="155" ht="23" customHeight="1">
      <x:c r="A155" s="20" t="str">
        <x:v>Progression.DeepInkHealthMultiplier</x:v>
      </x:c>
      <x:c r="B155" s="20" t="str">
        <x:v>множитель</x:v>
      </x:c>
      <x:c r="C155" s="24" t="n">
        <x:v>1.25</x:v>
      </x:c>
      <x:c r="D155" s="24" t="n">
        <x:v>1.25</x:v>
      </x:c>
      <x:c r="E155" s="20" t="str">
        <x:v>number</x:v>
      </x:c>
    </x:row>
    <x:row r="156" ht="23" customHeight="1">
      <x:c r="A156" s="20" t="str">
        <x:v>Progression.EnemySpeedScaleMinimum</x:v>
      </x:c>
      <x:c r="B156" s="20" t="str">
        <x:v>множитель</x:v>
      </x:c>
      <x:c r="C156" s="24" t="n">
        <x:v>0.9200000166893005</x:v>
      </x:c>
      <x:c r="D156" s="24" t="n">
        <x:v>0.9200000166893005</x:v>
      </x:c>
      <x:c r="E156" s="20" t="str">
        <x:v>number</x:v>
      </x:c>
    </x:row>
    <x:row r="157" ht="23" customHeight="1">
      <x:c r="A157" s="20" t="str">
        <x:v>Progression.EnemySpeedScaleVariation</x:v>
      </x:c>
      <x:c r="B157" s="20" t="str">
        <x:v>множитель</x:v>
      </x:c>
      <x:c r="C157" s="24" t="n">
        <x:v>0.1599999964237213</x:v>
      </x:c>
      <x:c r="D157" s="24" t="n">
        <x:v>0.1599999964237213</x:v>
      </x:c>
      <x:c r="E157" s="20" t="str">
        <x:v>number</x:v>
      </x:c>
    </x:row>
    <x:row r="158" ht="23" customHeight="1">
      <x:c r="A158" s="20" t="str">
        <x:v>Progression.LastUpgradeWave</x:v>
      </x:c>
      <x:c r="B158" s="20" t="str">
        <x:v>волны</x:v>
      </x:c>
      <x:c r="C158" s="26" t="n">
        <x:v>6</x:v>
      </x:c>
      <x:c r="D158" s="26" t="n">
        <x:v>6</x:v>
      </x:c>
      <x:c r="E158" s="20" t="str">
        <x:v>number</x:v>
      </x:c>
    </x:row>
    <x:row r="159" ht="23" customHeight="1">
      <x:c r="A159" s="20" t="str">
        <x:v>Progression.LegacyHealthGrowthPerWave</x:v>
      </x:c>
      <x:c r="B159" s="20" t="str">
        <x:v>доля HP/волну</x:v>
      </x:c>
      <x:c r="C159" s="24" t="n">
        <x:v>0.05999999865889549</x:v>
      </x:c>
      <x:c r="D159" s="24" t="n">
        <x:v>0.05999999865889549</x:v>
      </x:c>
      <x:c r="E159" s="20" t="str">
        <x:v>number</x:v>
      </x:c>
    </x:row>
    <x:row r="160" ht="23" customHeight="1">
      <x:c r="A160" s="20" t="str">
        <x:v>Progression.LegacyHealthGrowthStartsAfterWave</x:v>
      </x:c>
      <x:c r="B160" s="20" t="str">
        <x:v>волны</x:v>
      </x:c>
      <x:c r="C160" s="26" t="n">
        <x:v>3</x:v>
      </x:c>
      <x:c r="D160" s="26" t="n">
        <x:v>3</x:v>
      </x:c>
      <x:c r="E160" s="20" t="str">
        <x:v>number</x:v>
      </x:c>
    </x:row>
    <x:row r="161" ht="23" customHeight="1">
      <x:c r="A161" s="20" t="str">
        <x:v>Progression.MaximumRefundFraction</x:v>
      </x:c>
      <x:c r="B161" s="20" t="str">
        <x:v>доля</x:v>
      </x:c>
      <x:c r="C161" s="24" t="n">
        <x:v>0.949999988079071</x:v>
      </x:c>
      <x:c r="D161" s="24" t="n">
        <x:v>0.949999988079071</x:v>
      </x:c>
      <x:c r="E161" s="20" t="str">
        <x:v>number</x:v>
      </x:c>
    </x:row>
    <x:row r="162" ht="23" customHeight="1">
      <x:c r="A162" s="20" t="str">
        <x:v>Progression.RapidFireMultiplier</x:v>
      </x:c>
      <x:c r="B162" s="20" t="str">
        <x:v>множитель</x:v>
      </x:c>
      <x:c r="C162" s="24" t="n">
        <x:v>1.2200000286102295</x:v>
      </x:c>
      <x:c r="D162" s="24" t="n">
        <x:v>1.2200000286102295</x:v>
      </x:c>
      <x:c r="E162" s="20" t="str">
        <x:v>number</x:v>
      </x:c>
    </x:row>
    <x:row r="163" ht="23" customHeight="1">
      <x:c r="A163" s="20" t="str">
        <x:v>Progression.RequireAssignedEnemyRewards</x:v>
      </x:c>
      <x:c r="B163" s="20" t="str">
        <x:v>bool</x:v>
      </x:c>
      <x:c r="C163" s="24" t="str">
        <x:v>Выкл.</x:v>
      </x:c>
      <x:c r="D163" s="24" t="str">
        <x:v>Вкл.</x:v>
      </x:c>
      <x:c r="E163" s="20" t="str">
        <x:v>bool</x:v>
      </x:c>
    </x:row>
    <x:row r="164" ht="23" customHeight="1">
      <x:c r="A164" s="20" t="str">
        <x:v>Progression.SalvageImmediateInk</x:v>
      </x:c>
      <x:c r="B164" s="20" t="str">
        <x:v>штрихи</x:v>
      </x:c>
      <x:c r="C164" s="26" t="n">
        <x:v>60</x:v>
      </x:c>
      <x:c r="D164" s="26" t="n">
        <x:v>60</x:v>
      </x:c>
      <x:c r="E164" s="20" t="str">
        <x:v>number</x:v>
      </x:c>
    </x:row>
    <x:row r="165" ht="23" customHeight="1">
      <x:c r="A165" s="20" t="str">
        <x:v>Progression.SalvageRefundBonus</x:v>
      </x:c>
      <x:c r="B165" s="20" t="str">
        <x:v>доля</x:v>
      </x:c>
      <x:c r="C165" s="24" t="n">
        <x:v>0.11999999731779099</x:v>
      </x:c>
      <x:c r="D165" s="24" t="n">
        <x:v>0.11999999731779099</x:v>
      </x:c>
      <x:c r="E165" s="20" t="str">
        <x:v>number</x:v>
      </x:c>
    </x:row>
    <x:row r="166" ht="23" customHeight="1">
      <x:c r="A166" s="20" t="str">
        <x:v>Progression.SalvageSupplyMultiplier</x:v>
      </x:c>
      <x:c r="B166" s="20" t="str">
        <x:v>множитель</x:v>
      </x:c>
      <x:c r="C166" s="24" t="n">
        <x:v>1.25</x:v>
      </x:c>
      <x:c r="D166" s="24" t="n">
        <x:v>1</x:v>
      </x:c>
      <x:c r="E166" s="20" t="str">
        <x:v>number</x:v>
      </x:c>
    </x:row>
    <x:row r="167" ht="23" customHeight="1">
      <x:c r="A167" s="20" t="str">
        <x:v>Progression.SalvageWaveRewardMultiplier</x:v>
      </x:c>
      <x:c r="B167" s="20" t="str">
        <x:v>множитель</x:v>
      </x:c>
      <x:c r="C167" s="24" t="n">
        <x:v>1</x:v>
      </x:c>
      <x:c r="D167" s="24" t="n">
        <x:v>1.25</x:v>
      </x:c>
      <x:c r="E167" s="20" t="str">
        <x:v>number</x:v>
      </x:c>
    </x:row>
    <x:row r="168" ht="23" customHeight="1">
      <x:c r="A168" s="20" t="str">
        <x:v>Progression.UpgradeEveryWaves</x:v>
      </x:c>
      <x:c r="B168" s="20" t="str">
        <x:v>волны</x:v>
      </x:c>
      <x:c r="C168" s="26" t="n">
        <x:v>2</x:v>
      </x:c>
      <x:c r="D168" s="26" t="n">
        <x:v>2</x:v>
      </x:c>
      <x:c r="E168" s="20" t="str">
        <x:v>number</x:v>
      </x:c>
    </x:row>
    <x:row r="169" ht="23" customHeight="1">
      <x:c r="A169" s="20" t="str">
        <x:v>Progression.WellThreatFraction</x:v>
      </x:c>
      <x:c r="B169" s="20" t="str">
        <x:v>доля</x:v>
      </x:c>
      <x:c r="C169" s="24" t="n">
        <x:v>0.30000001192092896</x:v>
      </x:c>
      <x:c r="D169" s="24" t="n">
        <x:v>0.30000001192092896</x:v>
      </x:c>
      <x:c r="E169" s="20" t="str">
        <x:v>number</x:v>
      </x:c>
    </x:row>
    <x:row r="170" ht="23" customHeight="1">
      <x:c r="A170" s="20" t="str">
        <x:v>SimulationStep</x:v>
      </x:c>
      <x:c r="B170" s="20" t="str">
        <x:v>с</x:v>
      </x:c>
      <x:c r="C170" s="24" t="n">
        <x:v>0.03333333507180214</x:v>
      </x:c>
      <x:c r="D170" s="24" t="n">
        <x:v>0.03333333507180214</x:v>
      </x:c>
      <x:c r="E170" s="20" t="str">
        <x:v>number</x:v>
      </x:c>
    </x:row>
    <x:row r="171" ht="23" customHeight="1">
      <x:c r="A171" s="20" t="str">
        <x:v>StartingInk</x:v>
      </x:c>
      <x:c r="B171" s="20" t="str">
        <x:v>штрихи</x:v>
      </x:c>
      <x:c r="C171" s="26" t="n">
        <x:v>720</x:v>
      </x:c>
      <x:c r="D171" s="26" t="n">
        <x:v>720</x:v>
      </x:c>
      <x:c r="E171" s="20" t="str">
        <x:v>number</x:v>
      </x:c>
    </x:row>
    <x:row r="172" ht="23" customHeight="1">
      <x:c r="A172" s="20" t="str">
        <x:v>StructureDefinitions[0].BuildSeconds</x:v>
      </x:c>
      <x:c r="B172" s="20" t="str">
        <x:v>с</x:v>
      </x:c>
      <x:c r="C172" s="24" t="n">
        <x:v>0.3499999940395355</x:v>
      </x:c>
      <x:c r="D172" s="24" t="n">
        <x:v>0.3499999940395355</x:v>
      </x:c>
      <x:c r="E172" s="20" t="str">
        <x:v>number</x:v>
      </x:c>
    </x:row>
    <x:row r="173" ht="23" customHeight="1">
      <x:c r="A173" s="20" t="str">
        <x:v>StructureDefinitions[0].ConeAngleDegrees</x:v>
      </x:c>
      <x:c r="B173" s="20" t="str">
        <x:v>градусы</x:v>
      </x:c>
      <x:c r="C173" s="26" t="n">
        <x:v>90</x:v>
      </x:c>
      <x:c r="D173" s="26" t="n">
        <x:v>90</x:v>
      </x:c>
      <x:c r="E173" s="20" t="str">
        <x:v>number</x:v>
      </x:c>
    </x:row>
    <x:row r="174" ht="23" customHeight="1">
      <x:c r="A174" s="20" t="str">
        <x:v>StructureDefinitions[0].Cost</x:v>
      </x:c>
      <x:c r="B174" s="20" t="str">
        <x:v>штрихи</x:v>
      </x:c>
      <x:c r="C174" s="26" t="n">
        <x:v>3</x:v>
      </x:c>
      <x:c r="D174" s="26" t="n">
        <x:v>3</x:v>
      </x:c>
      <x:c r="E174" s="20" t="str">
        <x:v>number</x:v>
      </x:c>
    </x:row>
    <x:row r="175" ht="23" customHeight="1">
      <x:c r="A175" s="20" t="str">
        <x:v>StructureDefinitions[0].Damage</x:v>
      </x:c>
      <x:c r="B175" s="20" t="str">
        <x:v>HP/попадание</x:v>
      </x:c>
      <x:c r="C175" s="26" t="n">
        <x:v>0</x:v>
      </x:c>
      <x:c r="D175" s="26" t="n">
        <x:v>0</x:v>
      </x:c>
      <x:c r="E175" s="20" t="str">
        <x:v>number</x:v>
      </x:c>
    </x:row>
    <x:row r="176" ht="23" customHeight="1">
      <x:c r="A176" s="20" t="str">
        <x:v>StructureDefinitions[0].FlightSeconds</x:v>
      </x:c>
      <x:c r="B176" s="20" t="str">
        <x:v>с</x:v>
      </x:c>
      <x:c r="C176" s="24" t="n">
        <x:v>0.800000011920929</x:v>
      </x:c>
      <x:c r="D176" s="24" t="n">
        <x:v>0.800000011920929</x:v>
      </x:c>
      <x:c r="E176" s="20" t="str">
        <x:v>number</x:v>
      </x:c>
    </x:row>
    <x:row r="177" ht="23" customHeight="1">
      <x:c r="A177" s="20" t="str">
        <x:v>StructureDefinitions[0].JumpRange</x:v>
      </x:c>
      <x:c r="B177" s="20" t="str">
        <x:v>клетки</x:v>
      </x:c>
      <x:c r="C177" s="26" t="n">
        <x:v>0</x:v>
      </x:c>
      <x:c r="D177" s="26" t="n">
        <x:v>0</x:v>
      </x:c>
      <x:c r="E177" s="20" t="str">
        <x:v>number</x:v>
      </x:c>
    </x:row>
    <x:row r="178" ht="23" customHeight="1">
      <x:c r="A178" s="20" t="str">
        <x:v>StructureDefinitions[0].Kind</x:v>
      </x:c>
      <x:c r="B178" s="20" t="str">
        <x:v>enum</x:v>
      </x:c>
      <x:c r="C178" s="24" t="str">
        <x:v>Wall</x:v>
      </x:c>
      <x:c r="D178" s="24" t="str">
        <x:v>Wall</x:v>
      </x:c>
      <x:c r="E178" s="20" t="str">
        <x:v>enum</x:v>
      </x:c>
    </x:row>
    <x:row r="179" ht="23" customHeight="1">
      <x:c r="A179" s="20" t="str">
        <x:v>StructureDefinitions[0].MaxHealth</x:v>
      </x:c>
      <x:c r="B179" s="20" t="str">
        <x:v>HP</x:v>
      </x:c>
      <x:c r="C179" s="26" t="n">
        <x:v>65</x:v>
      </x:c>
      <x:c r="D179" s="26" t="n">
        <x:v>65</x:v>
      </x:c>
      <x:c r="E179" s="20" t="str">
        <x:v>number</x:v>
      </x:c>
    </x:row>
    <x:row r="180" ht="23" customHeight="1">
      <x:c r="A180" s="20" t="str">
        <x:v>StructureDefinitions[0].MaxPierce</x:v>
      </x:c>
      <x:c r="B180" s="20" t="str">
        <x:v>цели</x:v>
      </x:c>
      <x:c r="C180" s="26" t="n">
        <x:v>1</x:v>
      </x:c>
      <x:c r="D180" s="26" t="n">
        <x:v>1</x:v>
      </x:c>
      <x:c r="E180" s="20" t="str">
        <x:v>number</x:v>
      </x:c>
    </x:row>
    <x:row r="181" ht="23" customHeight="1">
      <x:c r="A181" s="20" t="str">
        <x:v>StructureDefinitions[0].MaxTargets</x:v>
      </x:c>
      <x:c r="B181" s="20" t="str">
        <x:v>цели</x:v>
      </x:c>
      <x:c r="C181" s="26" t="n">
        <x:v>8</x:v>
      </x:c>
      <x:c r="D181" s="26" t="n">
        <x:v>8</x:v>
      </x:c>
      <x:c r="E181" s="20" t="str">
        <x:v>number</x:v>
      </x:c>
    </x:row>
    <x:row r="182" ht="23" customHeight="1">
      <x:c r="A182" s="20" t="str">
        <x:v>StructureDefinitions[0].Radius</x:v>
      </x:c>
      <x:c r="B182" s="20" t="str">
        <x:v>клетки</x:v>
      </x:c>
      <x:c r="C182" s="24" t="n">
        <x:v>0.10000000149011612</x:v>
      </x:c>
      <x:c r="D182" s="24" t="n">
        <x:v>0.10000000149011612</x:v>
      </x:c>
      <x:c r="E182" s="20" t="str">
        <x:v>number</x:v>
      </x:c>
    </x:row>
    <x:row r="183" ht="23" customHeight="1">
      <x:c r="A183" s="20" t="str">
        <x:v>StructureDefinitions[0].Range</x:v>
      </x:c>
      <x:c r="B183" s="20" t="str">
        <x:v>клетки</x:v>
      </x:c>
      <x:c r="C183" s="26" t="n">
        <x:v>0</x:v>
      </x:c>
      <x:c r="D183" s="26" t="n">
        <x:v>0</x:v>
      </x:c>
      <x:c r="E183" s="20" t="str">
        <x:v>number</x:v>
      </x:c>
    </x:row>
    <x:row r="184" ht="23" customHeight="1">
      <x:c r="A184" s="20" t="str">
        <x:v>StructureDefinitions[0].ShotInterval</x:v>
      </x:c>
      <x:c r="B184" s="20" t="str">
        <x:v>с</x:v>
      </x:c>
      <x:c r="C184" s="24" t="n">
        <x:v>0.05000000074505806</x:v>
      </x:c>
      <x:c r="D184" s="24" t="n">
        <x:v>0.05000000074505806</x:v>
      </x:c>
      <x:c r="E184" s="20" t="str">
        <x:v>number</x:v>
      </x:c>
    </x:row>
    <x:row r="185" ht="23" customHeight="1">
      <x:c r="A185" s="20" t="str">
        <x:v>StructureDefinitions[0].SlowDuration</x:v>
      </x:c>
      <x:c r="B185" s="20" t="str">
        <x:v>с</x:v>
      </x:c>
      <x:c r="C185" s="26" t="n">
        <x:v>0</x:v>
      </x:c>
      <x:c r="D185" s="26" t="n">
        <x:v>0</x:v>
      </x:c>
      <x:c r="E185" s="20" t="str">
        <x:v>number</x:v>
      </x:c>
    </x:row>
    <x:row r="186" ht="23" customHeight="1">
      <x:c r="A186" s="20" t="str">
        <x:v>StructureDefinitions[0].SlowSpeedMultiplier</x:v>
      </x:c>
      <x:c r="B186" s="20" t="str">
        <x:v>множитель</x:v>
      </x:c>
      <x:c r="C186" s="26" t="n">
        <x:v>1</x:v>
      </x:c>
      <x:c r="D186" s="26" t="n">
        <x:v>1</x:v>
      </x:c>
      <x:c r="E186" s="20" t="str">
        <x:v>number</x:v>
      </x:c>
    </x:row>
    <x:row r="187" ht="23" customHeight="1">
      <x:c r="A187" s="20" t="str">
        <x:v>StructureDefinitions[1].BuildSeconds</x:v>
      </x:c>
      <x:c r="B187" s="20" t="str">
        <x:v>с</x:v>
      </x:c>
      <x:c r="C187" s="24" t="n">
        <x:v>1.399999976158142</x:v>
      </x:c>
      <x:c r="D187" s="24" t="n">
        <x:v>1.399999976158142</x:v>
      </x:c>
      <x:c r="E187" s="20" t="str">
        <x:v>number</x:v>
      </x:c>
    </x:row>
    <x:row r="188" ht="23" customHeight="1">
      <x:c r="A188" s="20" t="str">
        <x:v>StructureDefinitions[1].ConeAngleDegrees</x:v>
      </x:c>
      <x:c r="B188" s="20" t="str">
        <x:v>градусы</x:v>
      </x:c>
      <x:c r="C188" s="26" t="n">
        <x:v>90</x:v>
      </x:c>
      <x:c r="D188" s="26" t="n">
        <x:v>90</x:v>
      </x:c>
      <x:c r="E188" s="20" t="str">
        <x:v>number</x:v>
      </x:c>
    </x:row>
    <x:row r="189" ht="23" customHeight="1">
      <x:c r="A189" s="20" t="str">
        <x:v>StructureDefinitions[1].Cost</x:v>
      </x:c>
      <x:c r="B189" s="20" t="str">
        <x:v>штрихи</x:v>
      </x:c>
      <x:c r="C189" s="26" t="n">
        <x:v>40</x:v>
      </x:c>
      <x:c r="D189" s="26" t="n">
        <x:v>40</x:v>
      </x:c>
      <x:c r="E189" s="20" t="str">
        <x:v>number</x:v>
      </x:c>
    </x:row>
    <x:row r="190" ht="23" customHeight="1">
      <x:c r="A190" s="20" t="str">
        <x:v>StructureDefinitions[1].Damage</x:v>
      </x:c>
      <x:c r="B190" s="20" t="str">
        <x:v>HP/попадание</x:v>
      </x:c>
      <x:c r="C190" s="26" t="n">
        <x:v>12</x:v>
      </x:c>
      <x:c r="D190" s="26" t="n">
        <x:v>12</x:v>
      </x:c>
      <x:c r="E190" s="20" t="str">
        <x:v>number</x:v>
      </x:c>
    </x:row>
    <x:row r="191" ht="23" customHeight="1">
      <x:c r="A191" s="20" t="str">
        <x:v>StructureDefinitions[1].FlightSeconds</x:v>
      </x:c>
      <x:c r="B191" s="20" t="str">
        <x:v>с</x:v>
      </x:c>
      <x:c r="C191" s="24" t="n">
        <x:v>0.800000011920929</x:v>
      </x:c>
      <x:c r="D191" s="24" t="n">
        <x:v>0.800000011920929</x:v>
      </x:c>
      <x:c r="E191" s="20" t="str">
        <x:v>number</x:v>
      </x:c>
    </x:row>
    <x:row r="192" ht="23" customHeight="1">
      <x:c r="A192" s="20" t="str">
        <x:v>StructureDefinitions[1].JumpRange</x:v>
      </x:c>
      <x:c r="B192" s="20" t="str">
        <x:v>клетки</x:v>
      </x:c>
      <x:c r="C192" s="26" t="n">
        <x:v>0</x:v>
      </x:c>
      <x:c r="D192" s="26" t="n">
        <x:v>0</x:v>
      </x:c>
      <x:c r="E192" s="20" t="str">
        <x:v>number</x:v>
      </x:c>
    </x:row>
    <x:row r="193" ht="23" customHeight="1">
      <x:c r="A193" s="20" t="str">
        <x:v>StructureDefinitions[1].Kind</x:v>
      </x:c>
      <x:c r="B193" s="20" t="str">
        <x:v>enum</x:v>
      </x:c>
      <x:c r="C193" s="24" t="str">
        <x:v>Gun</x:v>
      </x:c>
      <x:c r="D193" s="24" t="str">
        <x:v>Gun</x:v>
      </x:c>
      <x:c r="E193" s="20" t="str">
        <x:v>enum</x:v>
      </x:c>
    </x:row>
    <x:row r="194" ht="23" customHeight="1">
      <x:c r="A194" s="20" t="str">
        <x:v>StructureDefinitions[1].MaxHealth</x:v>
      </x:c>
      <x:c r="B194" s="20" t="str">
        <x:v>HP</x:v>
      </x:c>
      <x:c r="C194" s="26" t="n">
        <x:v>55</x:v>
      </x:c>
      <x:c r="D194" s="26" t="n">
        <x:v>55</x:v>
      </x:c>
      <x:c r="E194" s="20" t="str">
        <x:v>number</x:v>
      </x:c>
    </x:row>
    <x:row r="195" ht="23" customHeight="1">
      <x:c r="A195" s="20" t="str">
        <x:v>StructureDefinitions[1].MaxPierce</x:v>
      </x:c>
      <x:c r="B195" s="20" t="str">
        <x:v>цели</x:v>
      </x:c>
      <x:c r="C195" s="26" t="n">
        <x:v>1</x:v>
      </x:c>
      <x:c r="D195" s="26" t="n">
        <x:v>1</x:v>
      </x:c>
      <x:c r="E195" s="20" t="str">
        <x:v>number</x:v>
      </x:c>
    </x:row>
    <x:row r="196" ht="23" customHeight="1">
      <x:c r="A196" s="20" t="str">
        <x:v>StructureDefinitions[1].MaxTargets</x:v>
      </x:c>
      <x:c r="B196" s="20" t="str">
        <x:v>цели</x:v>
      </x:c>
      <x:c r="C196" s="26" t="n">
        <x:v>8</x:v>
      </x:c>
      <x:c r="D196" s="26" t="n">
        <x:v>8</x:v>
      </x:c>
      <x:c r="E196" s="20" t="str">
        <x:v>number</x:v>
      </x:c>
    </x:row>
    <x:row r="197" ht="23" customHeight="1">
      <x:c r="A197" s="20" t="str">
        <x:v>StructureDefinitions[1].Radius</x:v>
      </x:c>
      <x:c r="B197" s="20" t="str">
        <x:v>клетки</x:v>
      </x:c>
      <x:c r="C197" s="24" t="n">
        <x:v>0.10000000149011612</x:v>
      </x:c>
      <x:c r="D197" s="24" t="n">
        <x:v>0.10000000149011612</x:v>
      </x:c>
      <x:c r="E197" s="20" t="str">
        <x:v>number</x:v>
      </x:c>
    </x:row>
    <x:row r="198" ht="23" customHeight="1">
      <x:c r="A198" s="20" t="str">
        <x:v>StructureDefinitions[1].Range</x:v>
      </x:c>
      <x:c r="B198" s="20" t="str">
        <x:v>клетки</x:v>
      </x:c>
      <x:c r="C198" s="26" t="n">
        <x:v>11</x:v>
      </x:c>
      <x:c r="D198" s="26" t="n">
        <x:v>11</x:v>
      </x:c>
      <x:c r="E198" s="20" t="str">
        <x:v>number</x:v>
      </x:c>
    </x:row>
    <x:row r="199" ht="23" customHeight="1">
      <x:c r="A199" s="20" t="str">
        <x:v>StructureDefinitions[1].ShotInterval</x:v>
      </x:c>
      <x:c r="B199" s="20" t="str">
        <x:v>с</x:v>
      </x:c>
      <x:c r="C199" s="24" t="n">
        <x:v>0.41999998688697815</x:v>
      </x:c>
      <x:c r="D199" s="24" t="n">
        <x:v>0.41999998688697815</x:v>
      </x:c>
      <x:c r="E199" s="20" t="str">
        <x:v>number</x:v>
      </x:c>
    </x:row>
    <x:row r="200" ht="23" customHeight="1">
      <x:c r="A200" s="20" t="str">
        <x:v>StructureDefinitions[1].SlowDuration</x:v>
      </x:c>
      <x:c r="B200" s="20" t="str">
        <x:v>с</x:v>
      </x:c>
      <x:c r="C200" s="26" t="n">
        <x:v>0</x:v>
      </x:c>
      <x:c r="D200" s="26" t="n">
        <x:v>0</x:v>
      </x:c>
      <x:c r="E200" s="20" t="str">
        <x:v>number</x:v>
      </x:c>
    </x:row>
    <x:row r="201" ht="23" customHeight="1">
      <x:c r="A201" s="20" t="str">
        <x:v>StructureDefinitions[1].SlowSpeedMultiplier</x:v>
      </x:c>
      <x:c r="B201" s="20" t="str">
        <x:v>множитель</x:v>
      </x:c>
      <x:c r="C201" s="26" t="n">
        <x:v>1</x:v>
      </x:c>
      <x:c r="D201" s="26" t="n">
        <x:v>1</x:v>
      </x:c>
      <x:c r="E201" s="20" t="str">
        <x:v>number</x:v>
      </x:c>
    </x:row>
    <x:row r="202" ht="23" customHeight="1">
      <x:c r="A202" s="20" t="str">
        <x:v>StructureDefinitions[2].BuildSeconds</x:v>
      </x:c>
      <x:c r="B202" s="20" t="str">
        <x:v>с</x:v>
      </x:c>
      <x:c r="C202" s="24" t="n">
        <x:v>1.899999976158142</x:v>
      </x:c>
      <x:c r="D202" s="24" t="n">
        <x:v>1.899999976158142</x:v>
      </x:c>
      <x:c r="E202" s="20" t="str">
        <x:v>number</x:v>
      </x:c>
    </x:row>
    <x:row r="203" ht="23" customHeight="1">
      <x:c r="A203" s="20" t="str">
        <x:v>StructureDefinitions[2].ConeAngleDegrees</x:v>
      </x:c>
      <x:c r="B203" s="20" t="str">
        <x:v>градусы</x:v>
      </x:c>
      <x:c r="C203" s="26" t="n">
        <x:v>90</x:v>
      </x:c>
      <x:c r="D203" s="26" t="n">
        <x:v>90</x:v>
      </x:c>
      <x:c r="E203" s="20" t="str">
        <x:v>number</x:v>
      </x:c>
    </x:row>
    <x:row r="204" ht="23" customHeight="1">
      <x:c r="A204" s="20" t="str">
        <x:v>StructureDefinitions[2].Cost</x:v>
      </x:c>
      <x:c r="B204" s="20" t="str">
        <x:v>штрихи</x:v>
      </x:c>
      <x:c r="C204" s="26" t="n">
        <x:v>65</x:v>
      </x:c>
      <x:c r="D204" s="26" t="n">
        <x:v>65</x:v>
      </x:c>
      <x:c r="E204" s="20" t="str">
        <x:v>number</x:v>
      </x:c>
    </x:row>
    <x:row r="205" ht="23" customHeight="1">
      <x:c r="A205" s="20" t="str">
        <x:v>StructureDefinitions[2].Damage</x:v>
      </x:c>
      <x:c r="B205" s="20" t="str">
        <x:v>HP/попадание</x:v>
      </x:c>
      <x:c r="C205" s="26" t="n">
        <x:v>18</x:v>
      </x:c>
      <x:c r="D205" s="26" t="n">
        <x:v>18</x:v>
      </x:c>
      <x:c r="E205" s="20" t="str">
        <x:v>number</x:v>
      </x:c>
    </x:row>
    <x:row r="206" ht="23" customHeight="1">
      <x:c r="A206" s="20" t="str">
        <x:v>StructureDefinitions[2].FlightSeconds</x:v>
      </x:c>
      <x:c r="B206" s="20" t="str">
        <x:v>с</x:v>
      </x:c>
      <x:c r="C206" s="24" t="n">
        <x:v>0.800000011920929</x:v>
      </x:c>
      <x:c r="D206" s="24" t="n">
        <x:v>0.800000011920929</x:v>
      </x:c>
      <x:c r="E206" s="20" t="str">
        <x:v>number</x:v>
      </x:c>
    </x:row>
    <x:row r="207" ht="23" customHeight="1">
      <x:c r="A207" s="20" t="str">
        <x:v>StructureDefinitions[2].JumpRange</x:v>
      </x:c>
      <x:c r="B207" s="20" t="str">
        <x:v>клетки</x:v>
      </x:c>
      <x:c r="C207" s="26" t="n">
        <x:v>0</x:v>
      </x:c>
      <x:c r="D207" s="26" t="n">
        <x:v>0</x:v>
      </x:c>
      <x:c r="E207" s="20" t="str">
        <x:v>number</x:v>
      </x:c>
    </x:row>
    <x:row r="208" ht="23" customHeight="1">
      <x:c r="A208" s="20" t="str">
        <x:v>StructureDefinitions[2].Kind</x:v>
      </x:c>
      <x:c r="B208" s="20" t="str">
        <x:v>enum</x:v>
      </x:c>
      <x:c r="C208" s="24" t="str">
        <x:v>Piercer</x:v>
      </x:c>
      <x:c r="D208" s="24" t="str">
        <x:v>Piercer</x:v>
      </x:c>
      <x:c r="E208" s="20" t="str">
        <x:v>enum</x:v>
      </x:c>
    </x:row>
    <x:row r="209" ht="23" customHeight="1">
      <x:c r="A209" s="20" t="str">
        <x:v>StructureDefinitions[2].MaxHealth</x:v>
      </x:c>
      <x:c r="B209" s="20" t="str">
        <x:v>HP</x:v>
      </x:c>
      <x:c r="C209" s="26" t="n">
        <x:v>50</x:v>
      </x:c>
      <x:c r="D209" s="26" t="n">
        <x:v>50</x:v>
      </x:c>
      <x:c r="E209" s="20" t="str">
        <x:v>number</x:v>
      </x:c>
    </x:row>
    <x:row r="210" ht="23" customHeight="1">
      <x:c r="A210" s="20" t="str">
        <x:v>StructureDefinitions[2].MaxPierce</x:v>
      </x:c>
      <x:c r="B210" s="20" t="str">
        <x:v>цели</x:v>
      </x:c>
      <x:c r="C210" s="26" t="n">
        <x:v>7</x:v>
      </x:c>
      <x:c r="D210" s="26" t="n">
        <x:v>7</x:v>
      </x:c>
      <x:c r="E210" s="20" t="str">
        <x:v>number</x:v>
      </x:c>
    </x:row>
    <x:row r="211" ht="23" customHeight="1">
      <x:c r="A211" s="20" t="str">
        <x:v>StructureDefinitions[2].MaxTargets</x:v>
      </x:c>
      <x:c r="B211" s="20" t="str">
        <x:v>цели</x:v>
      </x:c>
      <x:c r="C211" s="26" t="n">
        <x:v>8</x:v>
      </x:c>
      <x:c r="D211" s="26" t="n">
        <x:v>8</x:v>
      </x:c>
      <x:c r="E211" s="20" t="str">
        <x:v>number</x:v>
      </x:c>
    </x:row>
    <x:row r="212" ht="23" customHeight="1">
      <x:c r="A212" s="20" t="str">
        <x:v>StructureDefinitions[2].Radius</x:v>
      </x:c>
      <x:c r="B212" s="20" t="str">
        <x:v>клетки</x:v>
      </x:c>
      <x:c r="C212" s="24" t="n">
        <x:v>0.3799999952316284</x:v>
      </x:c>
      <x:c r="D212" s="24" t="n">
        <x:v>0.3799999952316284</x:v>
      </x:c>
      <x:c r="E212" s="20" t="str">
        <x:v>number</x:v>
      </x:c>
    </x:row>
    <x:row r="213" ht="23" customHeight="1">
      <x:c r="A213" s="20" t="str">
        <x:v>StructureDefinitions[2].Range</x:v>
      </x:c>
      <x:c r="B213" s="20" t="str">
        <x:v>клетки</x:v>
      </x:c>
      <x:c r="C213" s="26" t="n">
        <x:v>14</x:v>
      </x:c>
      <x:c r="D213" s="26" t="n">
        <x:v>14</x:v>
      </x:c>
      <x:c r="E213" s="20" t="str">
        <x:v>number</x:v>
      </x:c>
    </x:row>
    <x:row r="214" ht="23" customHeight="1">
      <x:c r="A214" s="20" t="str">
        <x:v>StructureDefinitions[2].ShotInterval</x:v>
      </x:c>
      <x:c r="B214" s="20" t="str">
        <x:v>с</x:v>
      </x:c>
      <x:c r="C214" s="24" t="n">
        <x:v>1.0499999523162842</x:v>
      </x:c>
      <x:c r="D214" s="24" t="n">
        <x:v>1.0499999523162842</x:v>
      </x:c>
      <x:c r="E214" s="20" t="str">
        <x:v>number</x:v>
      </x:c>
    </x:row>
    <x:row r="215" ht="23" customHeight="1">
      <x:c r="A215" s="20" t="str">
        <x:v>StructureDefinitions[2].SlowDuration</x:v>
      </x:c>
      <x:c r="B215" s="20" t="str">
        <x:v>с</x:v>
      </x:c>
      <x:c r="C215" s="26" t="n">
        <x:v>0</x:v>
      </x:c>
      <x:c r="D215" s="26" t="n">
        <x:v>0</x:v>
      </x:c>
      <x:c r="E215" s="20" t="str">
        <x:v>number</x:v>
      </x:c>
    </x:row>
    <x:row r="216" ht="23" customHeight="1">
      <x:c r="A216" s="20" t="str">
        <x:v>StructureDefinitions[2].SlowSpeedMultiplier</x:v>
      </x:c>
      <x:c r="B216" s="20" t="str">
        <x:v>множитель</x:v>
      </x:c>
      <x:c r="C216" s="26" t="n">
        <x:v>1</x:v>
      </x:c>
      <x:c r="D216" s="26" t="n">
        <x:v>1</x:v>
      </x:c>
      <x:c r="E216" s="20" t="str">
        <x:v>number</x:v>
      </x:c>
    </x:row>
    <x:row r="217" ht="23" customHeight="1">
      <x:c r="A217" s="20" t="str">
        <x:v>StructureDefinitions[3].BuildSeconds</x:v>
      </x:c>
      <x:c r="B217" s="20" t="str">
        <x:v>с</x:v>
      </x:c>
      <x:c r="C217" s="24" t="n">
        <x:v>2.4000000953674316</x:v>
      </x:c>
      <x:c r="D217" s="24" t="n">
        <x:v>2.4000000953674316</x:v>
      </x:c>
      <x:c r="E217" s="20" t="str">
        <x:v>number</x:v>
      </x:c>
    </x:row>
    <x:row r="218" ht="23" customHeight="1">
      <x:c r="A218" s="20" t="str">
        <x:v>StructureDefinitions[3].ConeAngleDegrees</x:v>
      </x:c>
      <x:c r="B218" s="20" t="str">
        <x:v>градусы</x:v>
      </x:c>
      <x:c r="C218" s="26" t="n">
        <x:v>90</x:v>
      </x:c>
      <x:c r="D218" s="26" t="n">
        <x:v>90</x:v>
      </x:c>
      <x:c r="E218" s="20" t="str">
        <x:v>number</x:v>
      </x:c>
    </x:row>
    <x:row r="219" ht="23" customHeight="1">
      <x:c r="A219" s="20" t="str">
        <x:v>StructureDefinitions[3].Cost</x:v>
      </x:c>
      <x:c r="B219" s="20" t="str">
        <x:v>штрихи</x:v>
      </x:c>
      <x:c r="C219" s="26" t="n">
        <x:v>90</x:v>
      </x:c>
      <x:c r="D219" s="26" t="n">
        <x:v>90</x:v>
      </x:c>
      <x:c r="E219" s="20" t="str">
        <x:v>number</x:v>
      </x:c>
    </x:row>
    <x:row r="220" ht="23" customHeight="1">
      <x:c r="A220" s="20" t="str">
        <x:v>StructureDefinitions[3].Damage</x:v>
      </x:c>
      <x:c r="B220" s="20" t="str">
        <x:v>HP/попадание</x:v>
      </x:c>
      <x:c r="C220" s="26" t="n">
        <x:v>25</x:v>
      </x:c>
      <x:c r="D220" s="26" t="n">
        <x:v>25</x:v>
      </x:c>
      <x:c r="E220" s="20" t="str">
        <x:v>number</x:v>
      </x:c>
    </x:row>
    <x:row r="221" ht="23" customHeight="1">
      <x:c r="A221" s="20" t="str">
        <x:v>StructureDefinitions[3].FlightSeconds</x:v>
      </x:c>
      <x:c r="B221" s="20" t="str">
        <x:v>с</x:v>
      </x:c>
      <x:c r="C221" s="24" t="n">
        <x:v>0.800000011920929</x:v>
      </x:c>
      <x:c r="D221" s="24" t="n">
        <x:v>0.800000011920929</x:v>
      </x:c>
      <x:c r="E221" s="20" t="str">
        <x:v>number</x:v>
      </x:c>
    </x:row>
    <x:row r="222" ht="23" customHeight="1">
      <x:c r="A222" s="20" t="str">
        <x:v>StructureDefinitions[3].JumpRange</x:v>
      </x:c>
      <x:c r="B222" s="20" t="str">
        <x:v>клетки</x:v>
      </x:c>
      <x:c r="C222" s="26" t="n">
        <x:v>0</x:v>
      </x:c>
      <x:c r="D222" s="26" t="n">
        <x:v>0</x:v>
      </x:c>
      <x:c r="E222" s="20" t="str">
        <x:v>number</x:v>
      </x:c>
    </x:row>
    <x:row r="223" ht="23" customHeight="1">
      <x:c r="A223" s="20" t="str">
        <x:v>StructureDefinitions[3].Kind</x:v>
      </x:c>
      <x:c r="B223" s="20" t="str">
        <x:v>enum</x:v>
      </x:c>
      <x:c r="C223" s="24" t="str">
        <x:v>Mortar</x:v>
      </x:c>
      <x:c r="D223" s="24" t="str">
        <x:v>Mortar</x:v>
      </x:c>
      <x:c r="E223" s="20" t="str">
        <x:v>enum</x:v>
      </x:c>
    </x:row>
    <x:row r="224" ht="23" customHeight="1">
      <x:c r="A224" s="20" t="str">
        <x:v>StructureDefinitions[3].MaxHealth</x:v>
      </x:c>
      <x:c r="B224" s="20" t="str">
        <x:v>HP</x:v>
      </x:c>
      <x:c r="C224" s="26" t="n">
        <x:v>60</x:v>
      </x:c>
      <x:c r="D224" s="26" t="n">
        <x:v>60</x:v>
      </x:c>
      <x:c r="E224" s="20" t="str">
        <x:v>number</x:v>
      </x:c>
    </x:row>
    <x:row r="225" ht="23" customHeight="1">
      <x:c r="A225" s="20" t="str">
        <x:v>StructureDefinitions[3].MaxPierce</x:v>
      </x:c>
      <x:c r="B225" s="20" t="str">
        <x:v>цели</x:v>
      </x:c>
      <x:c r="C225" s="26" t="n">
        <x:v>1</x:v>
      </x:c>
      <x:c r="D225" s="26" t="n">
        <x:v>1</x:v>
      </x:c>
      <x:c r="E225" s="20" t="str">
        <x:v>number</x:v>
      </x:c>
    </x:row>
    <x:row r="226" ht="23" customHeight="1">
      <x:c r="A226" s="20" t="str">
        <x:v>StructureDefinitions[3].MaxTargets</x:v>
      </x:c>
      <x:c r="B226" s="20" t="str">
        <x:v>цели</x:v>
      </x:c>
      <x:c r="C226" s="26" t="n">
        <x:v>8</x:v>
      </x:c>
      <x:c r="D226" s="26" t="n">
        <x:v>8</x:v>
      </x:c>
      <x:c r="E226" s="20" t="str">
        <x:v>number</x:v>
      </x:c>
    </x:row>
    <x:row r="227" ht="23" customHeight="1">
      <x:c r="A227" s="20" t="str">
        <x:v>StructureDefinitions[3].Radius</x:v>
      </x:c>
      <x:c r="B227" s="20" t="str">
        <x:v>клетки</x:v>
      </x:c>
      <x:c r="C227" s="24" t="n">
        <x:v>2.4000000953674316</x:v>
      </x:c>
      <x:c r="D227" s="24" t="n">
        <x:v>2.4000000953674316</x:v>
      </x:c>
      <x:c r="E227" s="20" t="str">
        <x:v>number</x:v>
      </x:c>
    </x:row>
    <x:row r="228" ht="23" customHeight="1">
      <x:c r="A228" s="20" t="str">
        <x:v>StructureDefinitions[3].Range</x:v>
      </x:c>
      <x:c r="B228" s="20" t="str">
        <x:v>клетки</x:v>
      </x:c>
      <x:c r="C228" s="26" t="n">
        <x:v>16</x:v>
      </x:c>
      <x:c r="D228" s="26" t="n">
        <x:v>16</x:v>
      </x:c>
      <x:c r="E228" s="20" t="str">
        <x:v>number</x:v>
      </x:c>
    </x:row>
    <x:row r="229" ht="23" customHeight="1">
      <x:c r="A229" s="20" t="str">
        <x:v>StructureDefinitions[3].ShotInterval</x:v>
      </x:c>
      <x:c r="B229" s="20" t="str">
        <x:v>с</x:v>
      </x:c>
      <x:c r="C229" s="24" t="n">
        <x:v>1.7999999523162842</x:v>
      </x:c>
      <x:c r="D229" s="24" t="n">
        <x:v>1.7999999523162842</x:v>
      </x:c>
      <x:c r="E229" s="20" t="str">
        <x:v>number</x:v>
      </x:c>
    </x:row>
    <x:row r="230" ht="23" customHeight="1">
      <x:c r="A230" s="20" t="str">
        <x:v>StructureDefinitions[3].SlowDuration</x:v>
      </x:c>
      <x:c r="B230" s="20" t="str">
        <x:v>с</x:v>
      </x:c>
      <x:c r="C230" s="26" t="n">
        <x:v>0</x:v>
      </x:c>
      <x:c r="D230" s="26" t="n">
        <x:v>0</x:v>
      </x:c>
      <x:c r="E230" s="20" t="str">
        <x:v>number</x:v>
      </x:c>
    </x:row>
    <x:row r="231" ht="23" customHeight="1">
      <x:c r="A231" s="20" t="str">
        <x:v>StructureDefinitions[3].SlowSpeedMultiplier</x:v>
      </x:c>
      <x:c r="B231" s="20" t="str">
        <x:v>множитель</x:v>
      </x:c>
      <x:c r="C231" s="26" t="n">
        <x:v>1</x:v>
      </x:c>
      <x:c r="D231" s="26" t="n">
        <x:v>1</x:v>
      </x:c>
      <x:c r="E231" s="20" t="str">
        <x:v>number</x:v>
      </x:c>
    </x:row>
    <x:row r="232" ht="23" customHeight="1">
      <x:c r="A232" s="20" t="str">
        <x:v>StructureDefinitions[4].BuildSeconds</x:v>
      </x:c>
      <x:c r="B232" s="20" t="str">
        <x:v>с</x:v>
      </x:c>
      <x:c r="C232" s="24" t="n">
        <x:v>0.5</x:v>
      </x:c>
      <x:c r="D232" s="24" t="n">
        <x:v>0.5</x:v>
      </x:c>
      <x:c r="E232" s="20" t="str">
        <x:v>number</x:v>
      </x:c>
    </x:row>
    <x:row r="233" ht="23" customHeight="1">
      <x:c r="A233" s="20" t="str">
        <x:v>StructureDefinitions[4].ConeAngleDegrees</x:v>
      </x:c>
      <x:c r="B233" s="20" t="str">
        <x:v>градусы</x:v>
      </x:c>
      <x:c r="C233" s="26" t="n">
        <x:v>90</x:v>
      </x:c>
      <x:c r="D233" s="26" t="n">
        <x:v>90</x:v>
      </x:c>
      <x:c r="E233" s="20" t="str">
        <x:v>number</x:v>
      </x:c>
    </x:row>
    <x:row r="234" ht="23" customHeight="1">
      <x:c r="A234" s="20" t="str">
        <x:v>StructureDefinitions[4].Cost</x:v>
      </x:c>
      <x:c r="B234" s="20" t="str">
        <x:v>штрихи</x:v>
      </x:c>
      <x:c r="C234" s="26" t="n">
        <x:v>8</x:v>
      </x:c>
      <x:c r="D234" s="26" t="n">
        <x:v>8</x:v>
      </x:c>
      <x:c r="E234" s="20" t="str">
        <x:v>number</x:v>
      </x:c>
    </x:row>
    <x:row r="235" ht="23" customHeight="1">
      <x:c r="A235" s="20" t="str">
        <x:v>StructureDefinitions[4].Damage</x:v>
      </x:c>
      <x:c r="B235" s="20" t="str">
        <x:v>HP/попадание</x:v>
      </x:c>
      <x:c r="C235" s="26" t="n">
        <x:v>9</x:v>
      </x:c>
      <x:c r="D235" s="26" t="n">
        <x:v>9</x:v>
      </x:c>
      <x:c r="E235" s="20" t="str">
        <x:v>number</x:v>
      </x:c>
    </x:row>
    <x:row r="236" ht="23" customHeight="1">
      <x:c r="A236" s="20" t="str">
        <x:v>StructureDefinitions[4].FlightSeconds</x:v>
      </x:c>
      <x:c r="B236" s="20" t="str">
        <x:v>с</x:v>
      </x:c>
      <x:c r="C236" s="24" t="n">
        <x:v>0.800000011920929</x:v>
      </x:c>
      <x:c r="D236" s="24" t="n">
        <x:v>0.800000011920929</x:v>
      </x:c>
      <x:c r="E236" s="20" t="str">
        <x:v>number</x:v>
      </x:c>
    </x:row>
    <x:row r="237" ht="23" customHeight="1">
      <x:c r="A237" s="20" t="str">
        <x:v>StructureDefinitions[4].JumpRange</x:v>
      </x:c>
      <x:c r="B237" s="20" t="str">
        <x:v>клетки</x:v>
      </x:c>
      <x:c r="C237" s="26" t="n">
        <x:v>0</x:v>
      </x:c>
      <x:c r="D237" s="26" t="n">
        <x:v>0</x:v>
      </x:c>
      <x:c r="E237" s="20" t="str">
        <x:v>number</x:v>
      </x:c>
    </x:row>
    <x:row r="238" ht="23" customHeight="1">
      <x:c r="A238" s="20" t="str">
        <x:v>StructureDefinitions[4].Kind</x:v>
      </x:c>
      <x:c r="B238" s="20" t="str">
        <x:v>enum</x:v>
      </x:c>
      <x:c r="C238" s="24" t="str">
        <x:v>Spikes</x:v>
      </x:c>
      <x:c r="D238" s="24" t="str">
        <x:v>Spikes</x:v>
      </x:c>
      <x:c r="E238" s="20" t="str">
        <x:v>enum</x:v>
      </x:c>
    </x:row>
    <x:row r="239" ht="23" customHeight="1">
      <x:c r="A239" s="20" t="str">
        <x:v>StructureDefinitions[4].MaxHealth</x:v>
      </x:c>
      <x:c r="B239" s="20" t="str">
        <x:v>HP</x:v>
      </x:c>
      <x:c r="C239" s="26" t="n">
        <x:v>35</x:v>
      </x:c>
      <x:c r="D239" s="26" t="n">
        <x:v>35</x:v>
      </x:c>
      <x:c r="E239" s="20" t="str">
        <x:v>number</x:v>
      </x:c>
    </x:row>
    <x:row r="240" ht="23" customHeight="1">
      <x:c r="A240" s="20" t="str">
        <x:v>StructureDefinitions[4].MaxPierce</x:v>
      </x:c>
      <x:c r="B240" s="20" t="str">
        <x:v>цели</x:v>
      </x:c>
      <x:c r="C240" s="26" t="n">
        <x:v>1</x:v>
      </x:c>
      <x:c r="D240" s="26" t="n">
        <x:v>1</x:v>
      </x:c>
      <x:c r="E240" s="20" t="str">
        <x:v>number</x:v>
      </x:c>
    </x:row>
    <x:row r="241" ht="23" customHeight="1">
      <x:c r="A241" s="20" t="str">
        <x:v>StructureDefinitions[4].MaxTargets</x:v>
      </x:c>
      <x:c r="B241" s="20" t="str">
        <x:v>цели</x:v>
      </x:c>
      <x:c r="C241" s="26" t="n">
        <x:v>8</x:v>
      </x:c>
      <x:c r="D241" s="26" t="n">
        <x:v>8</x:v>
      </x:c>
      <x:c r="E241" s="20" t="str">
        <x:v>number</x:v>
      </x:c>
    </x:row>
    <x:row r="242" ht="23" customHeight="1">
      <x:c r="A242" s="20" t="str">
        <x:v>StructureDefinitions[4].Radius</x:v>
      </x:c>
      <x:c r="B242" s="20" t="str">
        <x:v>клетки</x:v>
      </x:c>
      <x:c r="C242" s="24" t="n">
        <x:v>0.6499999761581421</x:v>
      </x:c>
      <x:c r="D242" s="24" t="n">
        <x:v>0.6499999761581421</x:v>
      </x:c>
      <x:c r="E242" s="20" t="str">
        <x:v>number</x:v>
      </x:c>
    </x:row>
    <x:row r="243" ht="23" customHeight="1">
      <x:c r="A243" s="20" t="str">
        <x:v>StructureDefinitions[4].Range</x:v>
      </x:c>
      <x:c r="B243" s="20" t="str">
        <x:v>клетки</x:v>
      </x:c>
      <x:c r="C243" s="24" t="n">
        <x:v>0.699999988079071</x:v>
      </x:c>
      <x:c r="D243" s="24" t="n">
        <x:v>0.699999988079071</x:v>
      </x:c>
      <x:c r="E243" s="20" t="str">
        <x:v>number</x:v>
      </x:c>
    </x:row>
    <x:row r="244" ht="23" customHeight="1">
      <x:c r="A244" s="20" t="str">
        <x:v>StructureDefinitions[4].ShotInterval</x:v>
      </x:c>
      <x:c r="B244" s="20" t="str">
        <x:v>с</x:v>
      </x:c>
      <x:c r="C244" s="24" t="n">
        <x:v>0.6499999761581421</x:v>
      </x:c>
      <x:c r="D244" s="24" t="n">
        <x:v>0.6499999761581421</x:v>
      </x:c>
      <x:c r="E244" s="20" t="str">
        <x:v>number</x:v>
      </x:c>
    </x:row>
    <x:row r="245" ht="23" customHeight="1">
      <x:c r="A245" s="20" t="str">
        <x:v>StructureDefinitions[4].SlowDuration</x:v>
      </x:c>
      <x:c r="B245" s="20" t="str">
        <x:v>с</x:v>
      </x:c>
      <x:c r="C245" s="26" t="n">
        <x:v>0</x:v>
      </x:c>
      <x:c r="D245" s="26" t="n">
        <x:v>0</x:v>
      </x:c>
      <x:c r="E245" s="20" t="str">
        <x:v>number</x:v>
      </x:c>
    </x:row>
    <x:row r="246" ht="23" customHeight="1">
      <x:c r="A246" s="20" t="str">
        <x:v>StructureDefinitions[4].SlowSpeedMultiplier</x:v>
      </x:c>
      <x:c r="B246" s="20" t="str">
        <x:v>множитель</x:v>
      </x:c>
      <x:c r="C246" s="26" t="n">
        <x:v>1</x:v>
      </x:c>
      <x:c r="D246" s="26" t="n">
        <x:v>1</x:v>
      </x:c>
      <x:c r="E246" s="20" t="str">
        <x:v>number</x:v>
      </x:c>
    </x:row>
    <x:row r="247" ht="23" customHeight="1">
      <x:c r="A247" s="20" t="str">
        <x:v>StructureDefinitions[5].BuildSeconds</x:v>
      </x:c>
      <x:c r="B247" s="20" t="str">
        <x:v>с</x:v>
      </x:c>
      <x:c r="C247" s="24" t="n">
        <x:v>1.600000023841858</x:v>
      </x:c>
      <x:c r="D247" s="24" t="n">
        <x:v>1.600000023841858</x:v>
      </x:c>
      <x:c r="E247" s="20" t="str">
        <x:v>number</x:v>
      </x:c>
    </x:row>
    <x:row r="248" ht="23" customHeight="1">
      <x:c r="A248" s="20" t="str">
        <x:v>StructureDefinitions[5].ConeAngleDegrees</x:v>
      </x:c>
      <x:c r="B248" s="20" t="str">
        <x:v>градусы</x:v>
      </x:c>
      <x:c r="C248" s="26" t="n">
        <x:v>90</x:v>
      </x:c>
      <x:c r="D248" s="26" t="n">
        <x:v>90</x:v>
      </x:c>
      <x:c r="E248" s="20" t="str">
        <x:v>number</x:v>
      </x:c>
    </x:row>
    <x:row r="249" ht="23" customHeight="1">
      <x:c r="A249" s="20" t="str">
        <x:v>StructureDefinitions[5].Cost</x:v>
      </x:c>
      <x:c r="B249" s="20" t="str">
        <x:v>штрихи</x:v>
      </x:c>
      <x:c r="C249" s="26" t="n">
        <x:v>70</x:v>
      </x:c>
      <x:c r="D249" s="26" t="n">
        <x:v>70</x:v>
      </x:c>
      <x:c r="E249" s="20" t="str">
        <x:v>number</x:v>
      </x:c>
    </x:row>
    <x:row r="250" ht="23" customHeight="1">
      <x:c r="A250" s="20" t="str">
        <x:v>StructureDefinitions[5].Damage</x:v>
      </x:c>
      <x:c r="B250" s="20" t="str">
        <x:v>HP/попадание</x:v>
      </x:c>
      <x:c r="C250" s="26" t="n">
        <x:v>10</x:v>
      </x:c>
      <x:c r="D250" s="26" t="n">
        <x:v>10</x:v>
      </x:c>
      <x:c r="E250" s="20" t="str">
        <x:v>number</x:v>
      </x:c>
    </x:row>
    <x:row r="251" ht="23" customHeight="1">
      <x:c r="A251" s="20" t="str">
        <x:v>StructureDefinitions[5].FlightSeconds</x:v>
      </x:c>
      <x:c r="B251" s="20" t="str">
        <x:v>с</x:v>
      </x:c>
      <x:c r="C251" s="24" t="n">
        <x:v>0.800000011920929</x:v>
      </x:c>
      <x:c r="D251" s="24" t="n">
        <x:v>0.800000011920929</x:v>
      </x:c>
      <x:c r="E251" s="20" t="str">
        <x:v>number</x:v>
      </x:c>
    </x:row>
    <x:row r="252" ht="23" customHeight="1">
      <x:c r="A252" s="20" t="str">
        <x:v>StructureDefinitions[5].JumpRange</x:v>
      </x:c>
      <x:c r="B252" s="20" t="str">
        <x:v>клетки</x:v>
      </x:c>
      <x:c r="C252" s="26" t="n">
        <x:v>0</x:v>
      </x:c>
      <x:c r="D252" s="26" t="n">
        <x:v>0</x:v>
      </x:c>
      <x:c r="E252" s="20" t="str">
        <x:v>number</x:v>
      </x:c>
    </x:row>
    <x:row r="253" ht="23" customHeight="1">
      <x:c r="A253" s="20" t="str">
        <x:v>StructureDefinitions[5].Kind</x:v>
      </x:c>
      <x:c r="B253" s="20" t="str">
        <x:v>enum</x:v>
      </x:c>
      <x:c r="C253" s="24" t="str">
        <x:v>Fan</x:v>
      </x:c>
      <x:c r="D253" s="24" t="str">
        <x:v>Fan</x:v>
      </x:c>
      <x:c r="E253" s="20" t="str">
        <x:v>enum</x:v>
      </x:c>
    </x:row>
    <x:row r="254" ht="23" customHeight="1">
      <x:c r="A254" s="20" t="str">
        <x:v>StructureDefinitions[5].MaxHealth</x:v>
      </x:c>
      <x:c r="B254" s="20" t="str">
        <x:v>HP</x:v>
      </x:c>
      <x:c r="C254" s="26" t="n">
        <x:v>55</x:v>
      </x:c>
      <x:c r="D254" s="26" t="n">
        <x:v>55</x:v>
      </x:c>
      <x:c r="E254" s="20" t="str">
        <x:v>number</x:v>
      </x:c>
    </x:row>
    <x:row r="255" ht="23" customHeight="1">
      <x:c r="A255" s="20" t="str">
        <x:v>StructureDefinitions[5].MaxPierce</x:v>
      </x:c>
      <x:c r="B255" s="20" t="str">
        <x:v>цели</x:v>
      </x:c>
      <x:c r="C255" s="26" t="n">
        <x:v>1</x:v>
      </x:c>
      <x:c r="D255" s="26" t="n">
        <x:v>1</x:v>
      </x:c>
      <x:c r="E255" s="20" t="str">
        <x:v>number</x:v>
      </x:c>
    </x:row>
    <x:row r="256" ht="23" customHeight="1">
      <x:c r="A256" s="20" t="str">
        <x:v>StructureDefinitions[5].MaxTargets</x:v>
      </x:c>
      <x:c r="B256" s="20" t="str">
        <x:v>цели</x:v>
      </x:c>
      <x:c r="C256" s="26" t="n">
        <x:v>8</x:v>
      </x:c>
      <x:c r="D256" s="26" t="n">
        <x:v>8</x:v>
      </x:c>
      <x:c r="E256" s="20" t="str">
        <x:v>number</x:v>
      </x:c>
    </x:row>
    <x:row r="257" ht="23" customHeight="1">
      <x:c r="A257" s="20" t="str">
        <x:v>StructureDefinitions[5].Radius</x:v>
      </x:c>
      <x:c r="B257" s="20" t="str">
        <x:v>клетки</x:v>
      </x:c>
      <x:c r="C257" s="24" t="n">
        <x:v>0.10000000149011612</x:v>
      </x:c>
      <x:c r="D257" s="24" t="n">
        <x:v>0.10000000149011612</x:v>
      </x:c>
      <x:c r="E257" s="20" t="str">
        <x:v>number</x:v>
      </x:c>
    </x:row>
    <x:row r="258" ht="23" customHeight="1">
      <x:c r="A258" s="20" t="str">
        <x:v>StructureDefinitions[5].Range</x:v>
      </x:c>
      <x:c r="B258" s="20" t="str">
        <x:v>клетки</x:v>
      </x:c>
      <x:c r="C258" s="26" t="n">
        <x:v>6</x:v>
      </x:c>
      <x:c r="D258" s="26" t="n">
        <x:v>6</x:v>
      </x:c>
      <x:c r="E258" s="20" t="str">
        <x:v>number</x:v>
      </x:c>
    </x:row>
    <x:row r="259" ht="23" customHeight="1">
      <x:c r="A259" s="20" t="str">
        <x:v>StructureDefinitions[5].ShotInterval</x:v>
      </x:c>
      <x:c r="B259" s="20" t="str">
        <x:v>с</x:v>
      </x:c>
      <x:c r="C259" s="26" t="n">
        <x:v>1</x:v>
      </x:c>
      <x:c r="D259" s="26" t="n">
        <x:v>1</x:v>
      </x:c>
      <x:c r="E259" s="20" t="str">
        <x:v>number</x:v>
      </x:c>
    </x:row>
    <x:row r="260" ht="23" customHeight="1">
      <x:c r="A260" s="20" t="str">
        <x:v>StructureDefinitions[5].SlowDuration</x:v>
      </x:c>
      <x:c r="B260" s="20" t="str">
        <x:v>с</x:v>
      </x:c>
      <x:c r="C260" s="26" t="n">
        <x:v>0</x:v>
      </x:c>
      <x:c r="D260" s="26" t="n">
        <x:v>0</x:v>
      </x:c>
      <x:c r="E260" s="20" t="str">
        <x:v>number</x:v>
      </x:c>
    </x:row>
    <x:row r="261" ht="23" customHeight="1">
      <x:c r="A261" s="20" t="str">
        <x:v>StructureDefinitions[5].SlowSpeedMultiplier</x:v>
      </x:c>
      <x:c r="B261" s="20" t="str">
        <x:v>множитель</x:v>
      </x:c>
      <x:c r="C261" s="26" t="n">
        <x:v>1</x:v>
      </x:c>
      <x:c r="D261" s="26" t="n">
        <x:v>1</x:v>
      </x:c>
      <x:c r="E261" s="20" t="str">
        <x:v>number</x:v>
      </x:c>
    </x:row>
    <x:row r="262" ht="23" customHeight="1">
      <x:c r="A262" s="20" t="str">
        <x:v>StructureDefinitions[6].BuildSeconds</x:v>
      </x:c>
      <x:c r="B262" s="20" t="str">
        <x:v>с</x:v>
      </x:c>
      <x:c r="C262" s="24" t="n">
        <x:v>1.600000023841858</x:v>
      </x:c>
      <x:c r="D262" s="24" t="n">
        <x:v>1.600000023841858</x:v>
      </x:c>
      <x:c r="E262" s="20" t="str">
        <x:v>number</x:v>
      </x:c>
    </x:row>
    <x:row r="263" ht="23" customHeight="1">
      <x:c r="A263" s="20" t="str">
        <x:v>StructureDefinitions[6].ConeAngleDegrees</x:v>
      </x:c>
      <x:c r="B263" s="20" t="str">
        <x:v>градусы</x:v>
      </x:c>
      <x:c r="C263" s="26" t="n">
        <x:v>90</x:v>
      </x:c>
      <x:c r="D263" s="26" t="n">
        <x:v>90</x:v>
      </x:c>
      <x:c r="E263" s="20" t="str">
        <x:v>number</x:v>
      </x:c>
    </x:row>
    <x:row r="264" ht="23" customHeight="1">
      <x:c r="A264" s="20" t="str">
        <x:v>StructureDefinitions[6].Cost</x:v>
      </x:c>
      <x:c r="B264" s="20" t="str">
        <x:v>штрихи</x:v>
      </x:c>
      <x:c r="C264" s="26" t="n">
        <x:v>65</x:v>
      </x:c>
      <x:c r="D264" s="26" t="n">
        <x:v>65</x:v>
      </x:c>
      <x:c r="E264" s="20" t="str">
        <x:v>number</x:v>
      </x:c>
    </x:row>
    <x:row r="265" ht="23" customHeight="1">
      <x:c r="A265" s="20" t="str">
        <x:v>StructureDefinitions[6].Damage</x:v>
      </x:c>
      <x:c r="B265" s="20" t="str">
        <x:v>HP/попадание</x:v>
      </x:c>
      <x:c r="C265" s="26" t="n">
        <x:v>12</x:v>
      </x:c>
      <x:c r="D265" s="26" t="n">
        <x:v>12</x:v>
      </x:c>
      <x:c r="E265" s="20" t="str">
        <x:v>number</x:v>
      </x:c>
    </x:row>
    <x:row r="266" ht="23" customHeight="1">
      <x:c r="A266" s="20" t="str">
        <x:v>StructureDefinitions[6].FlightSeconds</x:v>
      </x:c>
      <x:c r="B266" s="20" t="str">
        <x:v>с</x:v>
      </x:c>
      <x:c r="C266" s="24" t="n">
        <x:v>0.800000011920929</x:v>
      </x:c>
      <x:c r="D266" s="24" t="n">
        <x:v>0.800000011920929</x:v>
      </x:c>
      <x:c r="E266" s="20" t="str">
        <x:v>number</x:v>
      </x:c>
    </x:row>
    <x:row r="267" ht="23" customHeight="1">
      <x:c r="A267" s="20" t="str">
        <x:v>StructureDefinitions[6].JumpRange</x:v>
      </x:c>
      <x:c r="B267" s="20" t="str">
        <x:v>клетки</x:v>
      </x:c>
      <x:c r="C267" s="26" t="n">
        <x:v>3</x:v>
      </x:c>
      <x:c r="D267" s="26" t="n">
        <x:v>3</x:v>
      </x:c>
      <x:c r="E267" s="20" t="str">
        <x:v>number</x:v>
      </x:c>
    </x:row>
    <x:row r="268" ht="23" customHeight="1">
      <x:c r="A268" s="20" t="str">
        <x:v>StructureDefinitions[6].Kind</x:v>
      </x:c>
      <x:c r="B268" s="20" t="str">
        <x:v>enum</x:v>
      </x:c>
      <x:c r="C268" s="24" t="str">
        <x:v>Ricochet</x:v>
      </x:c>
      <x:c r="D268" s="24" t="str">
        <x:v>Ricochet</x:v>
      </x:c>
      <x:c r="E268" s="20" t="str">
        <x:v>enum</x:v>
      </x:c>
    </x:row>
    <x:row r="269" ht="23" customHeight="1">
      <x:c r="A269" s="20" t="str">
        <x:v>StructureDefinitions[6].MaxHealth</x:v>
      </x:c>
      <x:c r="B269" s="20" t="str">
        <x:v>HP</x:v>
      </x:c>
      <x:c r="C269" s="26" t="n">
        <x:v>55</x:v>
      </x:c>
      <x:c r="D269" s="26" t="n">
        <x:v>55</x:v>
      </x:c>
      <x:c r="E269" s="20" t="str">
        <x:v>number</x:v>
      </x:c>
    </x:row>
    <x:row r="270" ht="23" customHeight="1">
      <x:c r="A270" s="20" t="str">
        <x:v>StructureDefinitions[6].MaxPierce</x:v>
      </x:c>
      <x:c r="B270" s="20" t="str">
        <x:v>цели</x:v>
      </x:c>
      <x:c r="C270" s="26" t="n">
        <x:v>1</x:v>
      </x:c>
      <x:c r="D270" s="26" t="n">
        <x:v>1</x:v>
      </x:c>
      <x:c r="E270" s="20" t="str">
        <x:v>number</x:v>
      </x:c>
    </x:row>
    <x:row r="271" ht="23" customHeight="1">
      <x:c r="A271" s="20" t="str">
        <x:v>StructureDefinitions[6].MaxTargets</x:v>
      </x:c>
      <x:c r="B271" s="20" t="str">
        <x:v>цели</x:v>
      </x:c>
      <x:c r="C271" s="26" t="n">
        <x:v>4</x:v>
      </x:c>
      <x:c r="D271" s="26" t="n">
        <x:v>4</x:v>
      </x:c>
      <x:c r="E271" s="20" t="str">
        <x:v>number</x:v>
      </x:c>
    </x:row>
    <x:row r="272" ht="23" customHeight="1">
      <x:c r="A272" s="20" t="str">
        <x:v>StructureDefinitions[6].Radius</x:v>
      </x:c>
      <x:c r="B272" s="20" t="str">
        <x:v>клетки</x:v>
      </x:c>
      <x:c r="C272" s="24" t="n">
        <x:v>0.10000000149011612</x:v>
      </x:c>
      <x:c r="D272" s="24" t="n">
        <x:v>0.10000000149011612</x:v>
      </x:c>
      <x:c r="E272" s="20" t="str">
        <x:v>number</x:v>
      </x:c>
    </x:row>
    <x:row r="273" ht="23" customHeight="1">
      <x:c r="A273" s="20" t="str">
        <x:v>StructureDefinitions[6].Range</x:v>
      </x:c>
      <x:c r="B273" s="20" t="str">
        <x:v>клетки</x:v>
      </x:c>
      <x:c r="C273" s="26" t="n">
        <x:v>10</x:v>
      </x:c>
      <x:c r="D273" s="26" t="n">
        <x:v>10</x:v>
      </x:c>
      <x:c r="E273" s="20" t="str">
        <x:v>number</x:v>
      </x:c>
    </x:row>
    <x:row r="274" ht="23" customHeight="1">
      <x:c r="A274" s="20" t="str">
        <x:v>StructureDefinitions[6].ShotInterval</x:v>
      </x:c>
      <x:c r="B274" s="20" t="str">
        <x:v>с</x:v>
      </x:c>
      <x:c r="C274" s="24" t="n">
        <x:v>0.8500000238418579</x:v>
      </x:c>
      <x:c r="D274" s="24" t="n">
        <x:v>0.8500000238418579</x:v>
      </x:c>
      <x:c r="E274" s="20" t="str">
        <x:v>number</x:v>
      </x:c>
    </x:row>
    <x:row r="275" ht="23" customHeight="1">
      <x:c r="A275" s="20" t="str">
        <x:v>StructureDefinitions[6].SlowDuration</x:v>
      </x:c>
      <x:c r="B275" s="20" t="str">
        <x:v>с</x:v>
      </x:c>
      <x:c r="C275" s="26" t="n">
        <x:v>0</x:v>
      </x:c>
      <x:c r="D275" s="26" t="n">
        <x:v>0</x:v>
      </x:c>
      <x:c r="E275" s="20" t="str">
        <x:v>number</x:v>
      </x:c>
    </x:row>
    <x:row r="276" ht="23" customHeight="1">
      <x:c r="A276" s="20" t="str">
        <x:v>StructureDefinitions[6].SlowSpeedMultiplier</x:v>
      </x:c>
      <x:c r="B276" s="20" t="str">
        <x:v>множитель</x:v>
      </x:c>
      <x:c r="C276" s="26" t="n">
        <x:v>1</x:v>
      </x:c>
      <x:c r="D276" s="26" t="n">
        <x:v>1</x:v>
      </x:c>
      <x:c r="E276" s="20" t="str">
        <x:v>number</x:v>
      </x:c>
    </x:row>
    <x:row r="277" ht="23" customHeight="1">
      <x:c r="A277" s="20" t="str">
        <x:v>StructureDefinitions[7].BuildSeconds</x:v>
      </x:c>
      <x:c r="B277" s="20" t="str">
        <x:v>с</x:v>
      </x:c>
      <x:c r="C277" s="24" t="n">
        <x:v>1.2000000476837158</x:v>
      </x:c>
      <x:c r="D277" s="24" t="n">
        <x:v>1.2000000476837158</x:v>
      </x:c>
      <x:c r="E277" s="20" t="str">
        <x:v>number</x:v>
      </x:c>
    </x:row>
    <x:row r="278" ht="23" customHeight="1">
      <x:c r="A278" s="20" t="str">
        <x:v>StructureDefinitions[7].ConeAngleDegrees</x:v>
      </x:c>
      <x:c r="B278" s="20" t="str">
        <x:v>градусы</x:v>
      </x:c>
      <x:c r="C278" s="26" t="n">
        <x:v>90</x:v>
      </x:c>
      <x:c r="D278" s="26" t="n">
        <x:v>90</x:v>
      </x:c>
      <x:c r="E278" s="20" t="str">
        <x:v>number</x:v>
      </x:c>
    </x:row>
    <x:row r="279" ht="23" customHeight="1">
      <x:c r="A279" s="20" t="str">
        <x:v>StructureDefinitions[7].Cost</x:v>
      </x:c>
      <x:c r="B279" s="20" t="str">
        <x:v>штрихи</x:v>
      </x:c>
      <x:c r="C279" s="26" t="n">
        <x:v>35</x:v>
      </x:c>
      <x:c r="D279" s="26" t="n">
        <x:v>35</x:v>
      </x:c>
      <x:c r="E279" s="20" t="str">
        <x:v>number</x:v>
      </x:c>
    </x:row>
    <x:row r="280" ht="23" customHeight="1">
      <x:c r="A280" s="20" t="str">
        <x:v>StructureDefinitions[7].Damage</x:v>
      </x:c>
      <x:c r="B280" s="20" t="str">
        <x:v>HP/попадание</x:v>
      </x:c>
      <x:c r="C280" s="26" t="n">
        <x:v>4</x:v>
      </x:c>
      <x:c r="D280" s="26" t="n">
        <x:v>4</x:v>
      </x:c>
      <x:c r="E280" s="20" t="str">
        <x:v>number</x:v>
      </x:c>
    </x:row>
    <x:row r="281" ht="23" customHeight="1">
      <x:c r="A281" s="20" t="str">
        <x:v>StructureDefinitions[7].FlightSeconds</x:v>
      </x:c>
      <x:c r="B281" s="20" t="str">
        <x:v>с</x:v>
      </x:c>
      <x:c r="C281" s="24" t="n">
        <x:v>0.800000011920929</x:v>
      </x:c>
      <x:c r="D281" s="24" t="n">
        <x:v>0.800000011920929</x:v>
      </x:c>
      <x:c r="E281" s="20" t="str">
        <x:v>number</x:v>
      </x:c>
    </x:row>
    <x:row r="282" ht="23" customHeight="1">
      <x:c r="A282" s="20" t="str">
        <x:v>StructureDefinitions[7].JumpRange</x:v>
      </x:c>
      <x:c r="B282" s="20" t="str">
        <x:v>клетки</x:v>
      </x:c>
      <x:c r="C282" s="26" t="n">
        <x:v>0</x:v>
      </x:c>
      <x:c r="D282" s="26" t="n">
        <x:v>0</x:v>
      </x:c>
      <x:c r="E282" s="20" t="str">
        <x:v>number</x:v>
      </x:c>
    </x:row>
    <x:row r="283" ht="23" customHeight="1">
      <x:c r="A283" s="20" t="str">
        <x:v>StructureDefinitions[7].Kind</x:v>
      </x:c>
      <x:c r="B283" s="20" t="str">
        <x:v>enum</x:v>
      </x:c>
      <x:c r="C283" s="24" t="str">
        <x:v>Stapler</x:v>
      </x:c>
      <x:c r="D283" s="24" t="str">
        <x:v>Stapler</x:v>
      </x:c>
      <x:c r="E283" s="20" t="str">
        <x:v>enum</x:v>
      </x:c>
    </x:row>
    <x:row r="284" ht="23" customHeight="1">
      <x:c r="A284" s="20" t="str">
        <x:v>StructureDefinitions[7].MaxHealth</x:v>
      </x:c>
      <x:c r="B284" s="20" t="str">
        <x:v>HP</x:v>
      </x:c>
      <x:c r="C284" s="26" t="n">
        <x:v>55</x:v>
      </x:c>
      <x:c r="D284" s="26" t="n">
        <x:v>55</x:v>
      </x:c>
      <x:c r="E284" s="20" t="str">
        <x:v>number</x:v>
      </x:c>
    </x:row>
    <x:row r="285" ht="23" customHeight="1">
      <x:c r="A285" s="20" t="str">
        <x:v>StructureDefinitions[7].MaxPierce</x:v>
      </x:c>
      <x:c r="B285" s="20" t="str">
        <x:v>цели</x:v>
      </x:c>
      <x:c r="C285" s="26" t="n">
        <x:v>1</x:v>
      </x:c>
      <x:c r="D285" s="26" t="n">
        <x:v>1</x:v>
      </x:c>
      <x:c r="E285" s="20" t="str">
        <x:v>number</x:v>
      </x:c>
    </x:row>
    <x:row r="286" ht="23" customHeight="1">
      <x:c r="A286" s="20" t="str">
        <x:v>StructureDefinitions[7].MaxTargets</x:v>
      </x:c>
      <x:c r="B286" s="20" t="str">
        <x:v>цели</x:v>
      </x:c>
      <x:c r="C286" s="26" t="n">
        <x:v>8</x:v>
      </x:c>
      <x:c r="D286" s="26" t="n">
        <x:v>8</x:v>
      </x:c>
      <x:c r="E286" s="20" t="str">
        <x:v>number</x:v>
      </x:c>
    </x:row>
    <x:row r="287" ht="23" customHeight="1">
      <x:c r="A287" s="20" t="str">
        <x:v>StructureDefinitions[7].Radius</x:v>
      </x:c>
      <x:c r="B287" s="20" t="str">
        <x:v>клетки</x:v>
      </x:c>
      <x:c r="C287" s="24" t="n">
        <x:v>0.10000000149011612</x:v>
      </x:c>
      <x:c r="D287" s="24" t="n">
        <x:v>0.10000000149011612</x:v>
      </x:c>
      <x:c r="E287" s="20" t="str">
        <x:v>number</x:v>
      </x:c>
    </x:row>
    <x:row r="288" ht="23" customHeight="1">
      <x:c r="A288" s="20" t="str">
        <x:v>StructureDefinitions[7].Range</x:v>
      </x:c>
      <x:c r="B288" s="20" t="str">
        <x:v>клетки</x:v>
      </x:c>
      <x:c r="C288" s="26" t="n">
        <x:v>9</x:v>
      </x:c>
      <x:c r="D288" s="26" t="n">
        <x:v>9</x:v>
      </x:c>
      <x:c r="E288" s="20" t="str">
        <x:v>number</x:v>
      </x:c>
    </x:row>
    <x:row r="289" ht="23" customHeight="1">
      <x:c r="A289" s="20" t="str">
        <x:v>StructureDefinitions[7].ShotInterval</x:v>
      </x:c>
      <x:c r="B289" s="20" t="str">
        <x:v>с</x:v>
      </x:c>
      <x:c r="C289" s="24" t="n">
        <x:v>0.6499999761581421</x:v>
      </x:c>
      <x:c r="D289" s="24" t="n">
        <x:v>0.6499999761581421</x:v>
      </x:c>
      <x:c r="E289" s="20" t="str">
        <x:v>number</x:v>
      </x:c>
    </x:row>
    <x:row r="290" ht="23" customHeight="1">
      <x:c r="A290" s="20" t="str">
        <x:v>StructureDefinitions[7].SlowDuration</x:v>
      </x:c>
      <x:c r="B290" s="20" t="str">
        <x:v>с</x:v>
      </x:c>
      <x:c r="C290" s="26" t="n">
        <x:v>2</x:v>
      </x:c>
      <x:c r="D290" s="26" t="n">
        <x:v>2</x:v>
      </x:c>
      <x:c r="E290" s="20" t="str">
        <x:v>number</x:v>
      </x:c>
    </x:row>
    <x:row r="291" ht="23" customHeight="1">
      <x:c r="A291" s="20" t="str">
        <x:v>StructureDefinitions[7].SlowSpeedMultiplier</x:v>
      </x:c>
      <x:c r="B291" s="20" t="str">
        <x:v>множитель</x:v>
      </x:c>
      <x:c r="C291" s="24" t="n">
        <x:v>0.800000011920929</x:v>
      </x:c>
      <x:c r="D291" s="24" t="n">
        <x:v>0.800000011920929</x:v>
      </x:c>
      <x:c r="E291" s="20" t="str">
        <x:v>number</x:v>
      </x:c>
    </x:row>
    <x:row r="292" ht="23" customHeight="1">
      <x:c r="A292" s="20" t="str">
        <x:v>StructureDefinitions[8].BuildSeconds</x:v>
      </x:c>
      <x:c r="B292" s="20" t="str">
        <x:v>с</x:v>
      </x:c>
      <x:c r="C292" s="24" t="n">
        <x:v>1.2000000476837158</x:v>
      </x:c>
      <x:c r="D292" s="24" t="n">
        <x:v>1.2000000476837158</x:v>
      </x:c>
      <x:c r="E292" s="20" t="str">
        <x:v>number</x:v>
      </x:c>
    </x:row>
    <x:row r="293" ht="23" customHeight="1">
      <x:c r="A293" s="20" t="str">
        <x:v>StructureDefinitions[8].ConeAngleDegrees</x:v>
      </x:c>
      <x:c r="B293" s="20" t="str">
        <x:v>градусы</x:v>
      </x:c>
      <x:c r="C293" s="26" t="n">
        <x:v>90</x:v>
      </x:c>
      <x:c r="D293" s="26" t="n">
        <x:v>90</x:v>
      </x:c>
      <x:c r="E293" s="20" t="str">
        <x:v>number</x:v>
      </x:c>
    </x:row>
    <x:row r="294" ht="23" customHeight="1">
      <x:c r="A294" s="20" t="str">
        <x:v>StructureDefinitions[8].Cost</x:v>
      </x:c>
      <x:c r="B294" s="20" t="str">
        <x:v>штрихи</x:v>
      </x:c>
      <x:c r="C294" s="26" t="n">
        <x:v>30</x:v>
      </x:c>
      <x:c r="D294" s="26" t="n">
        <x:v>30</x:v>
      </x:c>
      <x:c r="E294" s="20" t="str">
        <x:v>number</x:v>
      </x:c>
    </x:row>
    <x:row r="295" ht="23" customHeight="1">
      <x:c r="A295" s="20" t="str">
        <x:v>StructureDefinitions[8].Damage</x:v>
      </x:c>
      <x:c r="B295" s="20" t="str">
        <x:v>HP/попадание</x:v>
      </x:c>
      <x:c r="C295" s="26" t="n">
        <x:v>0</x:v>
      </x:c>
      <x:c r="D295" s="26" t="n">
        <x:v>0</x:v>
      </x:c>
      <x:c r="E295" s="20" t="str">
        <x:v>number</x:v>
      </x:c>
    </x:row>
    <x:row r="296" ht="23" customHeight="1">
      <x:c r="A296" s="20" t="str">
        <x:v>StructureDefinitions[8].FlightSeconds</x:v>
      </x:c>
      <x:c r="B296" s="20" t="str">
        <x:v>с</x:v>
      </x:c>
      <x:c r="C296" s="24" t="n">
        <x:v>0.800000011920929</x:v>
      </x:c>
      <x:c r="D296" s="24" t="n">
        <x:v>0.800000011920929</x:v>
      </x:c>
      <x:c r="E296" s="20" t="str">
        <x:v>number</x:v>
      </x:c>
    </x:row>
    <x:row r="297" ht="23" customHeight="1">
      <x:c r="A297" s="20" t="str">
        <x:v>StructureDefinitions[8].JumpRange</x:v>
      </x:c>
      <x:c r="B297" s="20" t="str">
        <x:v>клетки</x:v>
      </x:c>
      <x:c r="C297" s="26" t="n">
        <x:v>0</x:v>
      </x:c>
      <x:c r="D297" s="26" t="n">
        <x:v>0</x:v>
      </x:c>
      <x:c r="E297" s="20" t="str">
        <x:v>number</x:v>
      </x:c>
    </x:row>
    <x:row r="298" ht="23" customHeight="1">
      <x:c r="A298" s="20" t="str">
        <x:v>StructureDefinitions[8].Kind</x:v>
      </x:c>
      <x:c r="B298" s="20" t="str">
        <x:v>enum</x:v>
      </x:c>
      <x:c r="C298" s="24" t="str">
        <x:v>Blotter</x:v>
      </x:c>
      <x:c r="D298" s="24" t="str">
        <x:v>Blotter</x:v>
      </x:c>
      <x:c r="E298" s="20" t="str">
        <x:v>enum</x:v>
      </x:c>
    </x:row>
    <x:row r="299" ht="23" customHeight="1">
      <x:c r="A299" s="20" t="str">
        <x:v>StructureDefinitions[8].MaxHealth</x:v>
      </x:c>
      <x:c r="B299" s="20" t="str">
        <x:v>HP</x:v>
      </x:c>
      <x:c r="C299" s="26" t="n">
        <x:v>55</x:v>
      </x:c>
      <x:c r="D299" s="26" t="n">
        <x:v>55</x:v>
      </x:c>
      <x:c r="E299" s="20" t="str">
        <x:v>number</x:v>
      </x:c>
    </x:row>
    <x:row r="300" ht="23" customHeight="1">
      <x:c r="A300" s="20" t="str">
        <x:v>StructureDefinitions[8].MaxPierce</x:v>
      </x:c>
      <x:c r="B300" s="20" t="str">
        <x:v>цели</x:v>
      </x:c>
      <x:c r="C300" s="26" t="n">
        <x:v>1</x:v>
      </x:c>
      <x:c r="D300" s="26" t="n">
        <x:v>1</x:v>
      </x:c>
      <x:c r="E300" s="20" t="str">
        <x:v>number</x:v>
      </x:c>
    </x:row>
    <x:row r="301" ht="23" customHeight="1">
      <x:c r="A301" s="20" t="str">
        <x:v>StructureDefinitions[8].MaxTargets</x:v>
      </x:c>
      <x:c r="B301" s="20" t="str">
        <x:v>цели</x:v>
      </x:c>
      <x:c r="C301" s="26" t="n">
        <x:v>8</x:v>
      </x:c>
      <x:c r="D301" s="26" t="n">
        <x:v>8</x:v>
      </x:c>
      <x:c r="E301" s="20" t="str">
        <x:v>number</x:v>
      </x:c>
    </x:row>
    <x:row r="302" ht="23" customHeight="1">
      <x:c r="A302" s="20" t="str">
        <x:v>StructureDefinitions[8].Radius</x:v>
      </x:c>
      <x:c r="B302" s="20" t="str">
        <x:v>клетки</x:v>
      </x:c>
      <x:c r="C302" s="24" t="n">
        <x:v>1.5</x:v>
      </x:c>
      <x:c r="D302" s="24" t="n">
        <x:v>1.5</x:v>
      </x:c>
      <x:c r="E302" s="20" t="str">
        <x:v>number</x:v>
      </x:c>
    </x:row>
    <x:row r="303" ht="23" customHeight="1">
      <x:c r="A303" s="20" t="str">
        <x:v>StructureDefinitions[8].Range</x:v>
      </x:c>
      <x:c r="B303" s="20" t="str">
        <x:v>клетки</x:v>
      </x:c>
      <x:c r="C303" s="26" t="n">
        <x:v>9</x:v>
      </x:c>
      <x:c r="D303" s="26" t="n">
        <x:v>9</x:v>
      </x:c>
      <x:c r="E303" s="20" t="str">
        <x:v>number</x:v>
      </x:c>
    </x:row>
    <x:row r="304" ht="23" customHeight="1">
      <x:c r="A304" s="20" t="str">
        <x:v>StructureDefinitions[8].ShotInterval</x:v>
      </x:c>
      <x:c r="B304" s="20" t="str">
        <x:v>с</x:v>
      </x:c>
      <x:c r="C304" s="26" t="n">
        <x:v>2</x:v>
      </x:c>
      <x:c r="D304" s="26" t="n">
        <x:v>2</x:v>
      </x:c>
      <x:c r="E304" s="20" t="str">
        <x:v>number</x:v>
      </x:c>
    </x:row>
    <x:row r="305" ht="23" customHeight="1">
      <x:c r="A305" s="20" t="str">
        <x:v>StructureDefinitions[8].SlowDuration</x:v>
      </x:c>
      <x:c r="B305" s="20" t="str">
        <x:v>с</x:v>
      </x:c>
      <x:c r="C305" s="26" t="n">
        <x:v>0</x:v>
      </x:c>
      <x:c r="D305" s="26" t="n">
        <x:v>0</x:v>
      </x:c>
      <x:c r="E305" s="20" t="str">
        <x:v>number</x:v>
      </x:c>
    </x:row>
    <x:row r="306" ht="23" customHeight="1">
      <x:c r="A306" s="20" t="str">
        <x:v>StructureDefinitions[8].SlowSpeedMultiplier</x:v>
      </x:c>
      <x:c r="B306" s="20" t="str">
        <x:v>множитель</x:v>
      </x:c>
      <x:c r="C306" s="26" t="n">
        <x:v>1</x:v>
      </x:c>
      <x:c r="D306" s="26" t="n">
        <x:v>1</x:v>
      </x:c>
      <x:c r="E306" s="20" t="str">
        <x:v>number</x:v>
      </x:c>
    </x:row>
    <x:row r="307" ht="23" customHeight="1">
      <x:c r="A307" s="20" t="str">
        <x:v>VictoryGold</x:v>
      </x:c>
      <x:c r="B307" s="20" t="str">
        <x:v>золото</x:v>
      </x:c>
      <x:c r="C307" s="26" t="n">
        <x:v>30</x:v>
      </x:c>
      <x:c r="D307" s="26" t="n">
        <x:v>30</x:v>
      </x:c>
      <x:c r="E307" s="20" t="str">
        <x:v>number</x:v>
      </x:c>
    </x:row>
    <x:row r="308" ht="23" customHeight="1">
      <x:c r="A308" s="20" t="str">
        <x:v>WaveGold</x:v>
      </x:c>
      <x:c r="B308" s="20" t="str">
        <x:v>золото</x:v>
      </x:c>
      <x:c r="C308" s="26" t="n">
        <x:v>8</x:v>
      </x:c>
      <x:c r="D308" s="26" t="n">
        <x:v>8</x:v>
      </x:c>
      <x:c r="E308" s="20" t="str">
        <x:v>number</x:v>
      </x:c>
    </x:row>
    <x:row r="309" ht="23" customHeight="1">
      <x:c r="A309" s="20" t="str">
        <x:v>WaveInkGrant</x:v>
      </x:c>
      <x:c r="B309" s="20" t="str">
        <x:v>штрихи</x:v>
      </x:c>
      <x:c r="C309" s="26" t="n">
        <x:v>75</x:v>
      </x:c>
      <x:c r="D309" s="26" t="n">
        <x:v>75</x:v>
      </x:c>
      <x:c r="E309" s="20" t="str">
        <x:v>number</x:v>
      </x:c>
    </x:row>
    <x:row r="310" ht="23" customHeight="1">
      <x:c r="A310" s="20" t="str">
        <x:v>Waves[0].Count</x:v>
      </x:c>
      <x:c r="B310" s="20" t="str">
        <x:v>ед.</x:v>
      </x:c>
      <x:c r="C310" s="26" t="n">
        <x:v>80</x:v>
      </x:c>
      <x:c r="D310" s="26" t="n">
        <x:v>80</x:v>
      </x:c>
      <x:c r="E310" s="20" t="str">
        <x:v>number</x:v>
      </x:c>
    </x:row>
    <x:row r="311" ht="23" customHeight="1">
      <x:c r="A311" s="20" t="str">
        <x:v>Waves[0].GnawerFraction</x:v>
      </x:c>
      <x:c r="B311" s="20" t="str">
        <x:v>доля</x:v>
      </x:c>
      <x:c r="C311" s="26" t="n">
        <x:v>0</x:v>
      </x:c>
      <x:c r="D311" s="26" t="n">
        <x:v>0</x:v>
      </x:c>
      <x:c r="E311" s="20" t="str">
        <x:v>number</x:v>
      </x:c>
    </x:row>
    <x:row r="312" ht="23" customHeight="1">
      <x:c r="A312" s="20" t="str">
        <x:v>Waves[0].HatchedFraction</x:v>
      </x:c>
      <x:c r="B312" s="20" t="str">
        <x:v>доля</x:v>
      </x:c>
      <x:c r="C312" s="26" t="n">
        <x:v>0</x:v>
      </x:c>
      <x:c r="D312" s="26" t="n">
        <x:v>0</x:v>
      </x:c>
      <x:c r="E312" s="20" t="str">
        <x:v>number</x:v>
      </x:c>
    </x:row>
    <x:row r="313" ht="23" customHeight="1">
      <x:c r="A313" s="20" t="str">
        <x:v>Waves[0].InkGrant</x:v>
      </x:c>
      <x:c r="B313" s="20" t="str">
        <x:v>штрихи</x:v>
      </x:c>
      <x:c r="C313" s="26" t="n">
        <x:v>-1</x:v>
      </x:c>
      <x:c r="D313" s="26" t="n">
        <x:v>140</x:v>
      </x:c>
      <x:c r="E313" s="20" t="str">
        <x:v>number</x:v>
      </x:c>
    </x:row>
    <x:row r="314" ht="23" customHeight="1">
      <x:c r="A314" s="20" t="str">
        <x:v>Waves[0].OutlinedFraction</x:v>
      </x:c>
      <x:c r="B314" s="20" t="str">
        <x:v>доля</x:v>
      </x:c>
      <x:c r="C314" s="26" t="n">
        <x:v>0</x:v>
      </x:c>
      <x:c r="D314" s="26" t="n">
        <x:v>0</x:v>
      </x:c>
      <x:c r="E314" s="20" t="str">
        <x:v>number</x:v>
      </x:c>
    </x:row>
    <x:row r="315" ht="23" customHeight="1">
      <x:c r="A315" s="20" t="str">
        <x:v>Waves[0].RunnerFraction</x:v>
      </x:c>
      <x:c r="B315" s="20" t="str">
        <x:v>доля</x:v>
      </x:c>
      <x:c r="C315" s="26" t="n">
        <x:v>0</x:v>
      </x:c>
      <x:c r="D315" s="26" t="n">
        <x:v>0</x:v>
      </x:c>
      <x:c r="E315" s="20" t="str">
        <x:v>number</x:v>
      </x:c>
    </x:row>
    <x:row r="316" ht="23" customHeight="1">
      <x:c r="A316" s="20" t="str">
        <x:v>Waves[0].Sides</x:v>
      </x:c>
      <x:c r="B316" s="20" t="str">
        <x:v>маска 1/2/4/8</x:v>
      </x:c>
      <x:c r="C316" s="26" t="n">
        <x:v>1</x:v>
      </x:c>
      <x:c r="D316" s="26" t="n">
        <x:v>1</x:v>
      </x:c>
      <x:c r="E316" s="20" t="str">
        <x:v>number</x:v>
      </x:c>
    </x:row>
    <x:row r="317" ht="23" customHeight="1">
      <x:c r="A317" s="20" t="str">
        <x:v>Waves[0].SpawnInterval</x:v>
      </x:c>
      <x:c r="B317" s="20" t="str">
        <x:v>с</x:v>
      </x:c>
      <x:c r="C317" s="24" t="n">
        <x:v>0.14000000059604645</x:v>
      </x:c>
      <x:c r="D317" s="24" t="n">
        <x:v>0.14000000059604645</x:v>
      </x:c>
      <x:c r="E317" s="20" t="str">
        <x:v>number</x:v>
      </x:c>
    </x:row>
    <x:row r="318" ht="23" customHeight="1">
      <x:c r="A318" s="20" t="str">
        <x:v>Waves[0].SpitterFraction</x:v>
      </x:c>
      <x:c r="B318" s="20" t="str">
        <x:v>доля</x:v>
      </x:c>
      <x:c r="C318" s="26" t="n">
        <x:v>0</x:v>
      </x:c>
      <x:c r="D318" s="26" t="n">
        <x:v>0</x:v>
      </x:c>
      <x:c r="E318" s="20" t="str">
        <x:v>number</x:v>
      </x:c>
    </x:row>
    <x:row r="319" ht="50" customHeight="1">
      <x:c r="A319" s="20" t="str">
        <x:v>Waves[0].Title</x:v>
      </x:c>
      <x:c r="B319" s="20" t="str">
        <x:v>текст</x:v>
      </x:c>
      <x:c r="C319" s="27" t="str">
        <x:v>Каракули с запада</x:v>
      </x:c>
      <x:c r="D319" s="27" t="str">
        <x:v>Каракули с запада</x:v>
      </x:c>
      <x:c r="E319" s="20" t="str">
        <x:v>string</x:v>
      </x:c>
    </x:row>
    <x:row r="320" ht="23" customHeight="1">
      <x:c r="A320" s="20" t="str">
        <x:v>Waves[1].Count</x:v>
      </x:c>
      <x:c r="B320" s="20" t="str">
        <x:v>ед.</x:v>
      </x:c>
      <x:c r="C320" s="26" t="n">
        <x:v>120</x:v>
      </x:c>
      <x:c r="D320" s="26" t="n">
        <x:v>120</x:v>
      </x:c>
      <x:c r="E320" s="20" t="str">
        <x:v>number</x:v>
      </x:c>
    </x:row>
    <x:row r="321" ht="23" customHeight="1">
      <x:c r="A321" s="20" t="str">
        <x:v>Waves[1].GnawerFraction</x:v>
      </x:c>
      <x:c r="B321" s="20" t="str">
        <x:v>доля</x:v>
      </x:c>
      <x:c r="C321" s="26" t="n">
        <x:v>0</x:v>
      </x:c>
      <x:c r="D321" s="26" t="n">
        <x:v>0</x:v>
      </x:c>
      <x:c r="E321" s="20" t="str">
        <x:v>number</x:v>
      </x:c>
    </x:row>
    <x:row r="322" ht="23" customHeight="1">
      <x:c r="A322" s="20" t="str">
        <x:v>Waves[1].HatchedFraction</x:v>
      </x:c>
      <x:c r="B322" s="20" t="str">
        <x:v>доля</x:v>
      </x:c>
      <x:c r="C322" s="26" t="n">
        <x:v>0</x:v>
      </x:c>
      <x:c r="D322" s="26" t="n">
        <x:v>0</x:v>
      </x:c>
      <x:c r="E322" s="20" t="str">
        <x:v>number</x:v>
      </x:c>
    </x:row>
    <x:row r="323" ht="23" customHeight="1">
      <x:c r="A323" s="20" t="str">
        <x:v>Waves[1].InkGrant</x:v>
      </x:c>
      <x:c r="B323" s="20" t="str">
        <x:v>штрихи</x:v>
      </x:c>
      <x:c r="C323" s="26" t="n">
        <x:v>-1</x:v>
      </x:c>
      <x:c r="D323" s="26" t="n">
        <x:v>160</x:v>
      </x:c>
      <x:c r="E323" s="20" t="str">
        <x:v>number</x:v>
      </x:c>
    </x:row>
    <x:row r="324" ht="23" customHeight="1">
      <x:c r="A324" s="20" t="str">
        <x:v>Waves[1].OutlinedFraction</x:v>
      </x:c>
      <x:c r="B324" s="20" t="str">
        <x:v>доля</x:v>
      </x:c>
      <x:c r="C324" s="24" t="n">
        <x:v>0.07999999821186066</x:v>
      </x:c>
      <x:c r="D324" s="24" t="n">
        <x:v>0.07999999821186066</x:v>
      </x:c>
      <x:c r="E324" s="20" t="str">
        <x:v>number</x:v>
      </x:c>
    </x:row>
    <x:row r="325" ht="23" customHeight="1">
      <x:c r="A325" s="20" t="str">
        <x:v>Waves[1].RunnerFraction</x:v>
      </x:c>
      <x:c r="B325" s="20" t="str">
        <x:v>доля</x:v>
      </x:c>
      <x:c r="C325" s="24" t="n">
        <x:v>0.2199999988079071</x:v>
      </x:c>
      <x:c r="D325" s="24" t="n">
        <x:v>0.2199999988079071</x:v>
      </x:c>
      <x:c r="E325" s="20" t="str">
        <x:v>number</x:v>
      </x:c>
    </x:row>
    <x:row r="326" ht="23" customHeight="1">
      <x:c r="A326" s="20" t="str">
        <x:v>Waves[1].Sides</x:v>
      </x:c>
      <x:c r="B326" s="20" t="str">
        <x:v>маска 1/2/4/8</x:v>
      </x:c>
      <x:c r="C326" s="26" t="n">
        <x:v>2</x:v>
      </x:c>
      <x:c r="D326" s="26" t="n">
        <x:v>2</x:v>
      </x:c>
      <x:c r="E326" s="20" t="str">
        <x:v>number</x:v>
      </x:c>
    </x:row>
    <x:row r="327" ht="23" customHeight="1">
      <x:c r="A327" s="20" t="str">
        <x:v>Waves[1].SpawnInterval</x:v>
      </x:c>
      <x:c r="B327" s="20" t="str">
        <x:v>с</x:v>
      </x:c>
      <x:c r="C327" s="24" t="n">
        <x:v>0.11999999731779099</x:v>
      </x:c>
      <x:c r="D327" s="24" t="n">
        <x:v>0.11999999731779099</x:v>
      </x:c>
      <x:c r="E327" s="20" t="str">
        <x:v>number</x:v>
      </x:c>
    </x:row>
    <x:row r="328" ht="23" customHeight="1">
      <x:c r="A328" s="20" t="str">
        <x:v>Waves[1].SpitterFraction</x:v>
      </x:c>
      <x:c r="B328" s="20" t="str">
        <x:v>доля</x:v>
      </x:c>
      <x:c r="C328" s="26" t="n">
        <x:v>0</x:v>
      </x:c>
      <x:c r="D328" s="26" t="n">
        <x:v>0</x:v>
      </x:c>
      <x:c r="E328" s="20" t="str">
        <x:v>number</x:v>
      </x:c>
    </x:row>
    <x:row r="329" ht="50" customHeight="1">
      <x:c r="A329" s="20" t="str">
        <x:v>Waves[1].Title</x:v>
      </x:c>
      <x:c r="B329" s="20" t="str">
        <x:v>текст</x:v>
      </x:c>
      <x:c r="C329" s="27" t="str">
        <x:v>Бегуны с востока</x:v>
      </x:c>
      <x:c r="D329" s="27" t="str">
        <x:v>Бегуны с востока</x:v>
      </x:c>
      <x:c r="E329" s="20" t="str">
        <x:v>string</x:v>
      </x:c>
    </x:row>
    <x:row r="330" ht="23" customHeight="1">
      <x:c r="A330" s="20" t="str">
        <x:v>Waves[2].Count</x:v>
      </x:c>
      <x:c r="B330" s="20" t="str">
        <x:v>ед.</x:v>
      </x:c>
      <x:c r="C330" s="26" t="n">
        <x:v>180</x:v>
      </x:c>
      <x:c r="D330" s="26" t="n">
        <x:v>180</x:v>
      </x:c>
      <x:c r="E330" s="20" t="str">
        <x:v>number</x:v>
      </x:c>
    </x:row>
    <x:row r="331" ht="23" customHeight="1">
      <x:c r="A331" s="20" t="str">
        <x:v>Waves[2].GnawerFraction</x:v>
      </x:c>
      <x:c r="B331" s="20" t="str">
        <x:v>доля</x:v>
      </x:c>
      <x:c r="C331" s="24" t="n">
        <x:v>0.07999999821186066</x:v>
      </x:c>
      <x:c r="D331" s="24" t="n">
        <x:v>0.07999999821186066</x:v>
      </x:c>
      <x:c r="E331" s="20" t="str">
        <x:v>number</x:v>
      </x:c>
    </x:row>
    <x:row r="332" ht="23" customHeight="1">
      <x:c r="A332" s="20" t="str">
        <x:v>Waves[2].HatchedFraction</x:v>
      </x:c>
      <x:c r="B332" s="20" t="str">
        <x:v>доля</x:v>
      </x:c>
      <x:c r="C332" s="26" t="n">
        <x:v>0</x:v>
      </x:c>
      <x:c r="D332" s="26" t="n">
        <x:v>0</x:v>
      </x:c>
      <x:c r="E332" s="20" t="str">
        <x:v>number</x:v>
      </x:c>
    </x:row>
    <x:row r="333" ht="23" customHeight="1">
      <x:c r="A333" s="20" t="str">
        <x:v>Waves[2].InkGrant</x:v>
      </x:c>
      <x:c r="B333" s="20" t="str">
        <x:v>штрихи</x:v>
      </x:c>
      <x:c r="C333" s="26" t="n">
        <x:v>-1</x:v>
      </x:c>
      <x:c r="D333" s="26" t="n">
        <x:v>180</x:v>
      </x:c>
      <x:c r="E333" s="20" t="str">
        <x:v>number</x:v>
      </x:c>
    </x:row>
    <x:row r="334" ht="23" customHeight="1">
      <x:c r="A334" s="20" t="str">
        <x:v>Waves[2].OutlinedFraction</x:v>
      </x:c>
      <x:c r="B334" s="20" t="str">
        <x:v>доля</x:v>
      </x:c>
      <x:c r="C334" s="24" t="n">
        <x:v>0.1599999964237213</x:v>
      </x:c>
      <x:c r="D334" s="24" t="n">
        <x:v>0.1599999964237213</x:v>
      </x:c>
      <x:c r="E334" s="20" t="str">
        <x:v>number</x:v>
      </x:c>
    </x:row>
    <x:row r="335" ht="23" customHeight="1">
      <x:c r="A335" s="20" t="str">
        <x:v>Waves[2].RunnerFraction</x:v>
      </x:c>
      <x:c r="B335" s="20" t="str">
        <x:v>доля</x:v>
      </x:c>
      <x:c r="C335" s="24" t="n">
        <x:v>0.25</x:v>
      </x:c>
      <x:c r="D335" s="24" t="n">
        <x:v>0.25</x:v>
      </x:c>
      <x:c r="E335" s="20" t="str">
        <x:v>number</x:v>
      </x:c>
    </x:row>
    <x:row r="336" ht="23" customHeight="1">
      <x:c r="A336" s="20" t="str">
        <x:v>Waves[2].Sides</x:v>
      </x:c>
      <x:c r="B336" s="20" t="str">
        <x:v>маска 1/2/4/8</x:v>
      </x:c>
      <x:c r="C336" s="26" t="n">
        <x:v>5</x:v>
      </x:c>
      <x:c r="D336" s="26" t="n">
        <x:v>5</x:v>
      </x:c>
      <x:c r="E336" s="20" t="str">
        <x:v>number</x:v>
      </x:c>
    </x:row>
    <x:row r="337" ht="23" customHeight="1">
      <x:c r="A337" s="20" t="str">
        <x:v>Waves[2].SpawnInterval</x:v>
      </x:c>
      <x:c r="B337" s="20" t="str">
        <x:v>с</x:v>
      </x:c>
      <x:c r="C337" s="24" t="n">
        <x:v>0.10000000149011612</x:v>
      </x:c>
      <x:c r="D337" s="24" t="n">
        <x:v>0.10000000149011612</x:v>
      </x:c>
      <x:c r="E337" s="20" t="str">
        <x:v>number</x:v>
      </x:c>
    </x:row>
    <x:row r="338" ht="23" customHeight="1">
      <x:c r="A338" s="20" t="str">
        <x:v>Waves[2].SpitterFraction</x:v>
      </x:c>
      <x:c r="B338" s="20" t="str">
        <x:v>доля</x:v>
      </x:c>
      <x:c r="C338" s="24" t="n">
        <x:v>0.03999999910593033</x:v>
      </x:c>
      <x:c r="D338" s="24" t="n">
        <x:v>0.03999999910593033</x:v>
      </x:c>
      <x:c r="E338" s="20" t="str">
        <x:v>number</x:v>
      </x:c>
    </x:row>
    <x:row r="339" ht="50" customHeight="1">
      <x:c r="A339" s="20" t="str">
        <x:v>Waves[2].Title</x:v>
      </x:c>
      <x:c r="B339" s="20" t="str">
        <x:v>текст</x:v>
      </x:c>
      <x:c r="C339" s="27" t="str">
        <x:v>Первые грызуны · запад / север</x:v>
      </x:c>
      <x:c r="D339" s="27" t="str">
        <x:v>Первые грызуны · запад / север</x:v>
      </x:c>
      <x:c r="E339" s="20" t="str">
        <x:v>string</x:v>
      </x:c>
    </x:row>
    <x:row r="340" ht="23" customHeight="1">
      <x:c r="A340" s="20" t="str">
        <x:v>Waves[3].Count</x:v>
      </x:c>
      <x:c r="B340" s="20" t="str">
        <x:v>ед.</x:v>
      </x:c>
      <x:c r="C340" s="26" t="n">
        <x:v>260</x:v>
      </x:c>
      <x:c r="D340" s="26" t="n">
        <x:v>260</x:v>
      </x:c>
      <x:c r="E340" s="20" t="str">
        <x:v>number</x:v>
      </x:c>
    </x:row>
    <x:row r="341" ht="23" customHeight="1">
      <x:c r="A341" s="20" t="str">
        <x:v>Waves[3].GnawerFraction</x:v>
      </x:c>
      <x:c r="B341" s="20" t="str">
        <x:v>доля</x:v>
      </x:c>
      <x:c r="C341" s="24" t="n">
        <x:v>0.10000000149011612</x:v>
      </x:c>
      <x:c r="D341" s="24" t="n">
        <x:v>0.10000000149011612</x:v>
      </x:c>
      <x:c r="E341" s="20" t="str">
        <x:v>number</x:v>
      </x:c>
    </x:row>
    <x:row r="342" ht="23" customHeight="1">
      <x:c r="A342" s="20" t="str">
        <x:v>Waves[3].HatchedFraction</x:v>
      </x:c>
      <x:c r="B342" s="20" t="str">
        <x:v>доля</x:v>
      </x:c>
      <x:c r="C342" s="26" t="n">
        <x:v>0</x:v>
      </x:c>
      <x:c r="D342" s="26" t="n">
        <x:v>0</x:v>
      </x:c>
      <x:c r="E342" s="20" t="str">
        <x:v>number</x:v>
      </x:c>
    </x:row>
    <x:row r="343" ht="23" customHeight="1">
      <x:c r="A343" s="20" t="str">
        <x:v>Waves[3].InkGrant</x:v>
      </x:c>
      <x:c r="B343" s="20" t="str">
        <x:v>штрихи</x:v>
      </x:c>
      <x:c r="C343" s="26" t="n">
        <x:v>-1</x:v>
      </x:c>
      <x:c r="D343" s="26" t="n">
        <x:v>200</x:v>
      </x:c>
      <x:c r="E343" s="20" t="str">
        <x:v>number</x:v>
      </x:c>
    </x:row>
    <x:row r="344" ht="23" customHeight="1">
      <x:c r="A344" s="20" t="str">
        <x:v>Waves[3].OutlinedFraction</x:v>
      </x:c>
      <x:c r="B344" s="20" t="str">
        <x:v>доля</x:v>
      </x:c>
      <x:c r="C344" s="24" t="n">
        <x:v>0.23999999463558197</x:v>
      </x:c>
      <x:c r="D344" s="24" t="n">
        <x:v>0.23999999463558197</x:v>
      </x:c>
      <x:c r="E344" s="20" t="str">
        <x:v>number</x:v>
      </x:c>
    </x:row>
    <x:row r="345" ht="23" customHeight="1">
      <x:c r="A345" s="20" t="str">
        <x:v>Waves[3].RunnerFraction</x:v>
      </x:c>
      <x:c r="B345" s="20" t="str">
        <x:v>доля</x:v>
      </x:c>
      <x:c r="C345" s="24" t="n">
        <x:v>0.3199999928474426</x:v>
      </x:c>
      <x:c r="D345" s="24" t="n">
        <x:v>0.3199999928474426</x:v>
      </x:c>
      <x:c r="E345" s="20" t="str">
        <x:v>number</x:v>
      </x:c>
    </x:row>
    <x:row r="346" ht="23" customHeight="1">
      <x:c r="A346" s="20" t="str">
        <x:v>Waves[3].Sides</x:v>
      </x:c>
      <x:c r="B346" s="20" t="str">
        <x:v>маска 1/2/4/8</x:v>
      </x:c>
      <x:c r="C346" s="26" t="n">
        <x:v>10</x:v>
      </x:c>
      <x:c r="D346" s="26" t="n">
        <x:v>10</x:v>
      </x:c>
      <x:c r="E346" s="20" t="str">
        <x:v>number</x:v>
      </x:c>
    </x:row>
    <x:row r="347" ht="23" customHeight="1">
      <x:c r="A347" s="20" t="str">
        <x:v>Waves[3].SpawnInterval</x:v>
      </x:c>
      <x:c r="B347" s="20" t="str">
        <x:v>с</x:v>
      </x:c>
      <x:c r="C347" s="24" t="n">
        <x:v>0.08500000089406967</x:v>
      </x:c>
      <x:c r="D347" s="24" t="n">
        <x:v>0.08500000089406967</x:v>
      </x:c>
      <x:c r="E347" s="20" t="str">
        <x:v>number</x:v>
      </x:c>
    </x:row>
    <x:row r="348" ht="23" customHeight="1">
      <x:c r="A348" s="20" t="str">
        <x:v>Waves[3].SpitterFraction</x:v>
      </x:c>
      <x:c r="B348" s="20" t="str">
        <x:v>доля</x:v>
      </x:c>
      <x:c r="C348" s="24" t="n">
        <x:v>0.07999999821186066</x:v>
      </x:c>
      <x:c r="D348" s="24" t="n">
        <x:v>0.07999999821186066</x:v>
      </x:c>
      <x:c r="E348" s="20" t="str">
        <x:v>number</x:v>
      </x:c>
    </x:row>
    <x:row r="349" ht="50" customHeight="1">
      <x:c r="A349" s="20" t="str">
        <x:v>Waves[3].Title</x:v>
      </x:c>
      <x:c r="B349" s="20" t="str">
        <x:v>текст</x:v>
      </x:c>
      <x:c r="C349" s="27" t="str">
        <x:v>Два фронта · восток / юг</x:v>
      </x:c>
      <x:c r="D349" s="27" t="str">
        <x:v>Два фронта · восток / юг</x:v>
      </x:c>
      <x:c r="E349" s="20" t="str">
        <x:v>string</x:v>
      </x:c>
    </x:row>
    <x:row r="350" ht="23" customHeight="1">
      <x:c r="A350" s="20" t="str">
        <x:v>Waves[4].Count</x:v>
      </x:c>
      <x:c r="B350" s="20" t="str">
        <x:v>ед.</x:v>
      </x:c>
      <x:c r="C350" s="26" t="n">
        <x:v>360</x:v>
      </x:c>
      <x:c r="D350" s="26" t="n">
        <x:v>360</x:v>
      </x:c>
      <x:c r="E350" s="20" t="str">
        <x:v>number</x:v>
      </x:c>
    </x:row>
    <x:row r="351" ht="23" customHeight="1">
      <x:c r="A351" s="20" t="str">
        <x:v>Waves[4].GnawerFraction</x:v>
      </x:c>
      <x:c r="B351" s="20" t="str">
        <x:v>доля</x:v>
      </x:c>
      <x:c r="C351" s="24" t="n">
        <x:v>0.12999999523162842</x:v>
      </x:c>
      <x:c r="D351" s="24" t="n">
        <x:v>0.12999999523162842</x:v>
      </x:c>
      <x:c r="E351" s="20" t="str">
        <x:v>number</x:v>
      </x:c>
    </x:row>
    <x:row r="352" ht="23" customHeight="1">
      <x:c r="A352" s="20" t="str">
        <x:v>Waves[4].HatchedFraction</x:v>
      </x:c>
      <x:c r="B352" s="20" t="str">
        <x:v>доля</x:v>
      </x:c>
      <x:c r="C352" s="24" t="n">
        <x:v>0.05000000074505806</x:v>
      </x:c>
      <x:c r="D352" s="24" t="n">
        <x:v>0.05000000074505806</x:v>
      </x:c>
      <x:c r="E352" s="20" t="str">
        <x:v>number</x:v>
      </x:c>
    </x:row>
    <x:row r="353" ht="23" customHeight="1">
      <x:c r="A353" s="20" t="str">
        <x:v>Waves[4].InkGrant</x:v>
      </x:c>
      <x:c r="B353" s="20" t="str">
        <x:v>штрихи</x:v>
      </x:c>
      <x:c r="C353" s="26" t="n">
        <x:v>-1</x:v>
      </x:c>
      <x:c r="D353" s="26" t="n">
        <x:v>220</x:v>
      </x:c>
      <x:c r="E353" s="20" t="str">
        <x:v>number</x:v>
      </x:c>
    </x:row>
    <x:row r="354" ht="23" customHeight="1">
      <x:c r="A354" s="20" t="str">
        <x:v>Waves[4].OutlinedFraction</x:v>
      </x:c>
      <x:c r="B354" s="20" t="str">
        <x:v>доля</x:v>
      </x:c>
      <x:c r="C354" s="24" t="n">
        <x:v>0.3199999928474426</x:v>
      </x:c>
      <x:c r="D354" s="24" t="n">
        <x:v>0.3199999928474426</x:v>
      </x:c>
      <x:c r="E354" s="20" t="str">
        <x:v>number</x:v>
      </x:c>
    </x:row>
    <x:row r="355" ht="23" customHeight="1">
      <x:c r="A355" s="20" t="str">
        <x:v>Waves[4].RunnerFraction</x:v>
      </x:c>
      <x:c r="B355" s="20" t="str">
        <x:v>доля</x:v>
      </x:c>
      <x:c r="C355" s="24" t="n">
        <x:v>0.30000001192092896</x:v>
      </x:c>
      <x:c r="D355" s="24" t="n">
        <x:v>0.30000001192092896</x:v>
      </x:c>
      <x:c r="E355" s="20" t="str">
        <x:v>number</x:v>
      </x:c>
    </x:row>
    <x:row r="356" ht="23" customHeight="1">
      <x:c r="A356" s="20" t="str">
        <x:v>Waves[4].Sides</x:v>
      </x:c>
      <x:c r="B356" s="20" t="str">
        <x:v>маска 1/2/4/8</x:v>
      </x:c>
      <x:c r="C356" s="26" t="n">
        <x:v>3</x:v>
      </x:c>
      <x:c r="D356" s="26" t="n">
        <x:v>3</x:v>
      </x:c>
      <x:c r="E356" s="20" t="str">
        <x:v>number</x:v>
      </x:c>
    </x:row>
    <x:row r="357" ht="23" customHeight="1">
      <x:c r="A357" s="20" t="str">
        <x:v>Waves[4].SpawnInterval</x:v>
      </x:c>
      <x:c r="B357" s="20" t="str">
        <x:v>с</x:v>
      </x:c>
      <x:c r="C357" s="24" t="n">
        <x:v>0.07500000298023224</x:v>
      </x:c>
      <x:c r="D357" s="24" t="n">
        <x:v>0.07500000298023224</x:v>
      </x:c>
      <x:c r="E357" s="20" t="str">
        <x:v>number</x:v>
      </x:c>
    </x:row>
    <x:row r="358" ht="23" customHeight="1">
      <x:c r="A358" s="20" t="str">
        <x:v>Waves[4].SpitterFraction</x:v>
      </x:c>
      <x:c r="B358" s="20" t="str">
        <x:v>доля</x:v>
      </x:c>
      <x:c r="C358" s="24" t="n">
        <x:v>0.11999999731779099</x:v>
      </x:c>
      <x:c r="D358" s="24" t="n">
        <x:v>0.11999999731779099</x:v>
      </x:c>
      <x:c r="E358" s="20" t="str">
        <x:v>number</x:v>
      </x:c>
    </x:row>
    <x:row r="359" ht="50" customHeight="1">
      <x:c r="A359" s="20" t="str">
        <x:v>Waves[4].Title</x:v>
      </x:c>
      <x:c r="B359" s="20" t="str">
        <x:v>текст</x:v>
      </x:c>
      <x:c r="C359" s="27" t="str">
        <x:v>Чернильный прилив · запад / восток</x:v>
      </x:c>
      <x:c r="D359" s="27" t="str">
        <x:v>Чернильный прилив · запад / восток</x:v>
      </x:c>
      <x:c r="E359" s="20" t="str">
        <x:v>string</x:v>
      </x:c>
    </x:row>
    <x:row r="360" ht="23" customHeight="1">
      <x:c r="A360" s="20" t="str">
        <x:v>Waves[5].Count</x:v>
      </x:c>
      <x:c r="B360" s="20" t="str">
        <x:v>ед.</x:v>
      </x:c>
      <x:c r="C360" s="26" t="n">
        <x:v>500</x:v>
      </x:c>
      <x:c r="D360" s="26" t="n">
        <x:v>500</x:v>
      </x:c>
      <x:c r="E360" s="20" t="str">
        <x:v>number</x:v>
      </x:c>
    </x:row>
    <x:row r="361" ht="23" customHeight="1">
      <x:c r="A361" s="20" t="str">
        <x:v>Waves[5].GnawerFraction</x:v>
      </x:c>
      <x:c r="B361" s="20" t="str">
        <x:v>доля</x:v>
      </x:c>
      <x:c r="C361" s="24" t="n">
        <x:v>0.15000000596046448</x:v>
      </x:c>
      <x:c r="D361" s="24" t="n">
        <x:v>0.15000000596046448</x:v>
      </x:c>
      <x:c r="E361" s="20" t="str">
        <x:v>number</x:v>
      </x:c>
    </x:row>
    <x:row r="362" ht="23" customHeight="1">
      <x:c r="A362" s="20" t="str">
        <x:v>Waves[5].HatchedFraction</x:v>
      </x:c>
      <x:c r="B362" s="20" t="str">
        <x:v>доля</x:v>
      </x:c>
      <x:c r="C362" s="24" t="n">
        <x:v>0.10000000149011612</x:v>
      </x:c>
      <x:c r="D362" s="24" t="n">
        <x:v>0.10000000149011612</x:v>
      </x:c>
      <x:c r="E362" s="20" t="str">
        <x:v>number</x:v>
      </x:c>
    </x:row>
    <x:row r="363" ht="23" customHeight="1">
      <x:c r="A363" s="20" t="str">
        <x:v>Waves[5].InkGrant</x:v>
      </x:c>
      <x:c r="B363" s="20" t="str">
        <x:v>штрихи</x:v>
      </x:c>
      <x:c r="C363" s="26" t="n">
        <x:v>-1</x:v>
      </x:c>
      <x:c r="D363" s="26" t="n">
        <x:v>240</x:v>
      </x:c>
      <x:c r="E363" s="20" t="str">
        <x:v>number</x:v>
      </x:c>
    </x:row>
    <x:row r="364" ht="23" customHeight="1">
      <x:c r="A364" s="20" t="str">
        <x:v>Waves[5].OutlinedFraction</x:v>
      </x:c>
      <x:c r="B364" s="20" t="str">
        <x:v>доля</x:v>
      </x:c>
      <x:c r="C364" s="24" t="n">
        <x:v>0.3499999940395355</x:v>
      </x:c>
      <x:c r="D364" s="24" t="n">
        <x:v>0.3499999940395355</x:v>
      </x:c>
      <x:c r="E364" s="20" t="str">
        <x:v>number</x:v>
      </x:c>
    </x:row>
    <x:row r="365" ht="23" customHeight="1">
      <x:c r="A365" s="20" t="str">
        <x:v>Waves[5].RunnerFraction</x:v>
      </x:c>
      <x:c r="B365" s="20" t="str">
        <x:v>доля</x:v>
      </x:c>
      <x:c r="C365" s="24" t="n">
        <x:v>0.3499999940395355</x:v>
      </x:c>
      <x:c r="D365" s="24" t="n">
        <x:v>0.3499999940395355</x:v>
      </x:c>
      <x:c r="E365" s="20" t="str">
        <x:v>number</x:v>
      </x:c>
    </x:row>
    <x:row r="366" ht="23" customHeight="1">
      <x:c r="A366" s="20" t="str">
        <x:v>Waves[5].Sides</x:v>
      </x:c>
      <x:c r="B366" s="20" t="str">
        <x:v>маска 1/2/4/8</x:v>
      </x:c>
      <x:c r="C366" s="26" t="n">
        <x:v>12</x:v>
      </x:c>
      <x:c r="D366" s="26" t="n">
        <x:v>12</x:v>
      </x:c>
      <x:c r="E366" s="20" t="str">
        <x:v>number</x:v>
      </x:c>
    </x:row>
    <x:row r="367" ht="23" customHeight="1">
      <x:c r="A367" s="20" t="str">
        <x:v>Waves[5].SpawnInterval</x:v>
      </x:c>
      <x:c r="B367" s="20" t="str">
        <x:v>с</x:v>
      </x:c>
      <x:c r="C367" s="24" t="n">
        <x:v>0.06499999761581421</x:v>
      </x:c>
      <x:c r="D367" s="24" t="n">
        <x:v>0.06499999761581421</x:v>
      </x:c>
      <x:c r="E367" s="20" t="str">
        <x:v>number</x:v>
      </x:c>
    </x:row>
    <x:row r="368" ht="23" customHeight="1">
      <x:c r="A368" s="20" t="str">
        <x:v>Waves[5].SpitterFraction</x:v>
      </x:c>
      <x:c r="B368" s="20" t="str">
        <x:v>доля</x:v>
      </x:c>
      <x:c r="C368" s="24" t="n">
        <x:v>0.1599999964237213</x:v>
      </x:c>
      <x:c r="D368" s="24" t="n">
        <x:v>0.1599999964237213</x:v>
      </x:c>
      <x:c r="E368" s="20" t="str">
        <x:v>number</x:v>
      </x:c>
    </x:row>
    <x:row r="369" ht="50" customHeight="1">
      <x:c r="A369" s="20" t="str">
        <x:v>Waves[5].Title</x:v>
      </x:c>
      <x:c r="B369" s="20" t="str">
        <x:v>текст</x:v>
      </x:c>
      <x:c r="C369" s="27" t="str">
        <x:v>Штурм полей · север / юг</x:v>
      </x:c>
      <x:c r="D369" s="27" t="str">
        <x:v>Штурм полей · север / юг</x:v>
      </x:c>
      <x:c r="E369" s="20" t="str">
        <x:v>string</x:v>
      </x:c>
    </x:row>
    <x:row r="370" ht="23" customHeight="1">
      <x:c r="A370" s="20" t="str">
        <x:v>Waves[6].Count</x:v>
      </x:c>
      <x:c r="B370" s="20" t="str">
        <x:v>ед.</x:v>
      </x:c>
      <x:c r="C370" s="26" t="n">
        <x:v>680</x:v>
      </x:c>
      <x:c r="D370" s="26" t="n">
        <x:v>680</x:v>
      </x:c>
      <x:c r="E370" s="20" t="str">
        <x:v>number</x:v>
      </x:c>
    </x:row>
    <x:row r="371" ht="23" customHeight="1">
      <x:c r="A371" s="20" t="str">
        <x:v>Waves[6].GnawerFraction</x:v>
      </x:c>
      <x:c r="B371" s="20" t="str">
        <x:v>доля</x:v>
      </x:c>
      <x:c r="C371" s="24" t="n">
        <x:v>0.18000000715255737</x:v>
      </x:c>
      <x:c r="D371" s="24" t="n">
        <x:v>0.18000000715255737</x:v>
      </x:c>
      <x:c r="E371" s="20" t="str">
        <x:v>number</x:v>
      </x:c>
    </x:row>
    <x:row r="372" ht="23" customHeight="1">
      <x:c r="A372" s="20" t="str">
        <x:v>Waves[6].HatchedFraction</x:v>
      </x:c>
      <x:c r="B372" s="20" t="str">
        <x:v>доля</x:v>
      </x:c>
      <x:c r="C372" s="24" t="n">
        <x:v>0.15000000596046448</x:v>
      </x:c>
      <x:c r="D372" s="24" t="n">
        <x:v>0.15000000596046448</x:v>
      </x:c>
      <x:c r="E372" s="20" t="str">
        <x:v>number</x:v>
      </x:c>
    </x:row>
    <x:row r="373" ht="23" customHeight="1">
      <x:c r="A373" s="20" t="str">
        <x:v>Waves[6].InkGrant</x:v>
      </x:c>
      <x:c r="B373" s="20" t="str">
        <x:v>штрихи</x:v>
      </x:c>
      <x:c r="C373" s="26" t="n">
        <x:v>-1</x:v>
      </x:c>
      <x:c r="D373" s="26" t="n">
        <x:v>260</x:v>
      </x:c>
      <x:c r="E373" s="20" t="str">
        <x:v>number</x:v>
      </x:c>
    </x:row>
    <x:row r="374" ht="23" customHeight="1">
      <x:c r="A374" s="20" t="str">
        <x:v>Waves[6].OutlinedFraction</x:v>
      </x:c>
      <x:c r="B374" s="20" t="str">
        <x:v>доля</x:v>
      </x:c>
      <x:c r="C374" s="24" t="n">
        <x:v>0.3499999940395355</x:v>
      </x:c>
      <x:c r="D374" s="24" t="n">
        <x:v>0.3499999940395355</x:v>
      </x:c>
      <x:c r="E374" s="20" t="str">
        <x:v>number</x:v>
      </x:c>
    </x:row>
    <x:row r="375" ht="23" customHeight="1">
      <x:c r="A375" s="20" t="str">
        <x:v>Waves[6].RunnerFraction</x:v>
      </x:c>
      <x:c r="B375" s="20" t="str">
        <x:v>доля</x:v>
      </x:c>
      <x:c r="C375" s="24" t="n">
        <x:v>0.36000001430511475</x:v>
      </x:c>
      <x:c r="D375" s="24" t="n">
        <x:v>0.36000001430511475</x:v>
      </x:c>
      <x:c r="E375" s="20" t="str">
        <x:v>number</x:v>
      </x:c>
    </x:row>
    <x:row r="376" ht="23" customHeight="1">
      <x:c r="A376" s="20" t="str">
        <x:v>Waves[6].Sides</x:v>
      </x:c>
      <x:c r="B376" s="20" t="str">
        <x:v>маска 1/2/4/8</x:v>
      </x:c>
      <x:c r="C376" s="26" t="n">
        <x:v>15</x:v>
      </x:c>
      <x:c r="D376" s="26" t="n">
        <x:v>15</x:v>
      </x:c>
      <x:c r="E376" s="20" t="str">
        <x:v>number</x:v>
      </x:c>
    </x:row>
    <x:row r="377" ht="23" customHeight="1">
      <x:c r="A377" s="20" t="str">
        <x:v>Waves[6].SpawnInterval</x:v>
      </x:c>
      <x:c r="B377" s="20" t="str">
        <x:v>с</x:v>
      </x:c>
      <x:c r="C377" s="24" t="n">
        <x:v>0.054999999701976776</x:v>
      </x:c>
      <x:c r="D377" s="24" t="n">
        <x:v>0.054999999701976776</x:v>
      </x:c>
      <x:c r="E377" s="20" t="str">
        <x:v>number</x:v>
      </x:c>
    </x:row>
    <x:row r="378" ht="23" customHeight="1">
      <x:c r="A378" s="20" t="str">
        <x:v>Waves[6].SpitterFraction</x:v>
      </x:c>
      <x:c r="B378" s="20" t="str">
        <x:v>доля</x:v>
      </x:c>
      <x:c r="C378" s="24" t="n">
        <x:v>0.1599999964237213</x:v>
      </x:c>
      <x:c r="D378" s="24" t="n">
        <x:v>0.1599999964237213</x:v>
      </x:c>
      <x:c r="E378" s="20" t="str">
        <x:v>number</x:v>
      </x:c>
    </x:row>
    <x:row r="379" ht="50" customHeight="1">
      <x:c r="A379" s="20" t="str">
        <x:v>Waves[6].Title</x:v>
      </x:c>
      <x:c r="B379" s="20" t="str">
        <x:v>текст</x:v>
      </x:c>
      <x:c r="C379" s="27" t="str">
        <x:v>Со всех сторон</x:v>
      </x:c>
      <x:c r="D379" s="27" t="str">
        <x:v>Со всех сторон</x:v>
      </x:c>
      <x:c r="E379" s="20" t="str">
        <x:v>string</x:v>
      </x:c>
    </x:row>
    <x:row r="380" ht="23" customHeight="1">
      <x:c r="A380" s="20" t="str">
        <x:v>Waves[7].Count</x:v>
      </x:c>
      <x:c r="B380" s="20" t="str">
        <x:v>ед.</x:v>
      </x:c>
      <x:c r="C380" s="26" t="n">
        <x:v>1000</x:v>
      </x:c>
      <x:c r="D380" s="26" t="n">
        <x:v>1000</x:v>
      </x:c>
      <x:c r="E380" s="20" t="str">
        <x:v>number</x:v>
      </x:c>
    </x:row>
    <x:row r="381" ht="23" customHeight="1">
      <x:c r="A381" s="20" t="str">
        <x:v>Waves[7].GnawerFraction</x:v>
      </x:c>
      <x:c r="B381" s="20" t="str">
        <x:v>доля</x:v>
      </x:c>
      <x:c r="C381" s="24" t="n">
        <x:v>0.20000000298023224</x:v>
      </x:c>
      <x:c r="D381" s="24" t="n">
        <x:v>0.20000000298023224</x:v>
      </x:c>
      <x:c r="E381" s="20" t="str">
        <x:v>number</x:v>
      </x:c>
    </x:row>
    <x:row r="382" ht="23" customHeight="1">
      <x:c r="A382" s="20" t="str">
        <x:v>Waves[7].HatchedFraction</x:v>
      </x:c>
      <x:c r="B382" s="20" t="str">
        <x:v>доля</x:v>
      </x:c>
      <x:c r="C382" s="24" t="n">
        <x:v>0.20000000298023224</x:v>
      </x:c>
      <x:c r="D382" s="24" t="n">
        <x:v>0.20000000298023224</x:v>
      </x:c>
      <x:c r="E382" s="20" t="str">
        <x:v>number</x:v>
      </x:c>
    </x:row>
    <x:row r="383" ht="23" customHeight="1">
      <x:c r="A383" s="20" t="str">
        <x:v>Waves[7].InkGrant</x:v>
      </x:c>
      <x:c r="B383" s="20" t="str">
        <x:v>штрихи</x:v>
      </x:c>
      <x:c r="C383" s="26" t="n">
        <x:v>-1</x:v>
      </x:c>
      <x:c r="D383" s="26" t="n">
        <x:v>280</x:v>
      </x:c>
      <x:c r="E383" s="20" t="str">
        <x:v>number</x:v>
      </x:c>
    </x:row>
    <x:row r="384" ht="23" customHeight="1">
      <x:c r="A384" s="20" t="str">
        <x:v>Waves[7].OutlinedFraction</x:v>
      </x:c>
      <x:c r="B384" s="20" t="str">
        <x:v>доля</x:v>
      </x:c>
      <x:c r="C384" s="24" t="n">
        <x:v>0.3499999940395355</x:v>
      </x:c>
      <x:c r="D384" s="24" t="n">
        <x:v>0.3499999940395355</x:v>
      </x:c>
      <x:c r="E384" s="20" t="str">
        <x:v>number</x:v>
      </x:c>
    </x:row>
    <x:row r="385" ht="23" customHeight="1">
      <x:c r="A385" s="20" t="str">
        <x:v>Waves[7].RunnerFraction</x:v>
      </x:c>
      <x:c r="B385" s="20" t="str">
        <x:v>доля</x:v>
      </x:c>
      <x:c r="C385" s="24" t="n">
        <x:v>0.3799999952316284</x:v>
      </x:c>
      <x:c r="D385" s="24" t="n">
        <x:v>0.3799999952316284</x:v>
      </x:c>
      <x:c r="E385" s="20" t="str">
        <x:v>number</x:v>
      </x:c>
    </x:row>
    <x:row r="386" ht="23" customHeight="1">
      <x:c r="A386" s="20" t="str">
        <x:v>Waves[7].Sides</x:v>
      </x:c>
      <x:c r="B386" s="20" t="str">
        <x:v>маска 1/2/4/8</x:v>
      </x:c>
      <x:c r="C386" s="26" t="n">
        <x:v>15</x:v>
      </x:c>
      <x:c r="D386" s="26" t="n">
        <x:v>15</x:v>
      </x:c>
      <x:c r="E386" s="20" t="str">
        <x:v>number</x:v>
      </x:c>
    </x:row>
    <x:row r="387" ht="23" customHeight="1">
      <x:c r="A387" s="20" t="str">
        <x:v>Waves[7].SpawnInterval</x:v>
      </x:c>
      <x:c r="B387" s="20" t="str">
        <x:v>с</x:v>
      </x:c>
      <x:c r="C387" s="24" t="n">
        <x:v>0.04500000178813934</x:v>
      </x:c>
      <x:c r="D387" s="24" t="n">
        <x:v>0.04500000178813934</x:v>
      </x:c>
      <x:c r="E387" s="20" t="str">
        <x:v>number</x:v>
      </x:c>
    </x:row>
    <x:row r="388" ht="23" customHeight="1">
      <x:c r="A388" s="20" t="str">
        <x:v>Waves[7].SpitterFraction</x:v>
      </x:c>
      <x:c r="B388" s="20" t="str">
        <x:v>доля</x:v>
      </x:c>
      <x:c r="C388" s="24" t="n">
        <x:v>0.1599999964237213</x:v>
      </x:c>
      <x:c r="D388" s="24" t="n">
        <x:v>0.1599999964237213</x:v>
      </x:c>
      <x:c r="E388" s="20" t="str">
        <x:v>number</x:v>
      </x:c>
    </x:row>
    <x:row r="389" ht="50" customHeight="1">
      <x:c r="A389" s="20" t="str">
        <x:v>Waves[7].Title</x:v>
      </x:c>
      <x:c r="B389" s="20" t="str">
        <x:v>текст</x:v>
      </x:c>
      <x:c r="C389" s="27" t="str">
        <x:v>Финальная осада · 1000 каракуль</x:v>
      </x:c>
      <x:c r="D389" s="27" t="str">
        <x:v>Финальная осада · 1000 каракуль</x:v>
      </x:c>
      <x:c r="E389" s="20" t="str">
        <x:v>string</x:v>
      </x:c>
    </x:row>
    <x:row r="390" ht="23" customHeight="1">
      <x:c r="A390" s="20" t="str">
        <x:v>WellActivationCost</x:v>
      </x:c>
      <x:c r="B390" s="20" t="str">
        <x:v>штрихи</x:v>
      </x:c>
      <x:c r="C390" s="26" t="n">
        <x:v>45</x:v>
      </x:c>
      <x:c r="D390" s="26" t="n">
        <x:v>45</x:v>
      </x:c>
      <x:c r="E390" s="20" t="str">
        <x:v>number</x:v>
      </x:c>
    </x:row>
    <x:row r="391" ht="23" customHeight="1">
      <x:c r="A391" s="20" t="str">
        <x:v>WellHealth</x:v>
      </x:c>
      <x:c r="B391" s="20" t="str">
        <x:v>HP</x:v>
      </x:c>
      <x:c r="C391" s="26" t="n">
        <x:v>160</x:v>
      </x:c>
      <x:c r="D391" s="26" t="n">
        <x:v>160</x:v>
      </x:c>
      <x:c r="E391" s="20" t="str">
        <x:v>number</x:v>
      </x:c>
    </x:row>
    <x:row r="392" ht="23" customHeight="1">
      <x:c r="A392" s="20" t="str">
        <x:v>WellInkPerWave</x:v>
      </x:c>
      <x:c r="B392" s="20" t="str">
        <x:v>цветные чернила/волну</x:v>
      </x:c>
      <x:c r="C392" s="26" t="n">
        <x:v>12</x:v>
      </x:c>
      <x:c r="D392" s="26" t="n">
        <x:v>12</x:v>
      </x:c>
      <x:c r="E392" s="20" t="str">
        <x:v>number</x:v>
      </x:c>
    </x:row>
    <x:row r="393" ht="23" customHeight="1">
      <x:c r="A393" s="20" t="str">
        <x:v>Width</x:v>
      </x:c>
      <x:c r="B393" s="20" t="str">
        <x:v>клетки</x:v>
      </x:c>
      <x:c r="C393" s="26" t="n">
        <x:v>96</x:v>
      </x:c>
      <x:c r="D393" s="26" t="n">
        <x:v>96</x:v>
      </x:c>
      <x:c r="E393" s="20" t="str">
        <x:v>number</x:v>
      </x:c>
    </x:row>
  </x:sheetData>
  <x:conditionalFormatting sqref="C7:D7">
    <x:cfRule type="expression" dxfId="4" priority="1">
      <x:formula>$C7&lt;&gt;$D7</x:formula>
    </x:cfRule>
  </x:conditionalFormatting>
  <x:conditionalFormatting sqref="C8:D8">
    <x:cfRule type="expression" dxfId="5" priority="2">
      <x:formula>$C8&lt;&gt;$D8</x:formula>
    </x:cfRule>
  </x:conditionalFormatting>
  <x:conditionalFormatting sqref="C9:D9">
    <x:cfRule type="expression" dxfId="6" priority="3">
      <x:formula>$C9&lt;&gt;$D9</x:formula>
    </x:cfRule>
  </x:conditionalFormatting>
  <x:conditionalFormatting sqref="C10:D10">
    <x:cfRule type="expression" dxfId="7" priority="4">
      <x:formula>$C10&lt;&gt;$D10</x:formula>
    </x:cfRule>
  </x:conditionalFormatting>
  <x:conditionalFormatting sqref="C11:D11">
    <x:cfRule type="expression" dxfId="8" priority="5">
      <x:formula>$C11&lt;&gt;$D11</x:formula>
    </x:cfRule>
  </x:conditionalFormatting>
  <x:conditionalFormatting sqref="C12:D12">
    <x:cfRule type="expression" dxfId="9" priority="6">
      <x:formula>$C12&lt;&gt;$D12</x:formula>
    </x:cfRule>
  </x:conditionalFormatting>
  <x:conditionalFormatting sqref="C13:D13">
    <x:cfRule type="expression" dxfId="10" priority="7">
      <x:formula>$C13&lt;&gt;$D13</x:formula>
    </x:cfRule>
  </x:conditionalFormatting>
  <x:conditionalFormatting sqref="C14:D14">
    <x:cfRule type="expression" dxfId="11" priority="8">
      <x:formula>$C14&lt;&gt;$D14</x:formula>
    </x:cfRule>
  </x:conditionalFormatting>
  <x:conditionalFormatting sqref="C15:D15">
    <x:cfRule type="expression" dxfId="12" priority="9">
      <x:formula>$C15&lt;&gt;$D15</x:formula>
    </x:cfRule>
  </x:conditionalFormatting>
  <x:conditionalFormatting sqref="C16:D16">
    <x:cfRule type="expression" dxfId="13" priority="10">
      <x:formula>$C16&lt;&gt;$D16</x:formula>
    </x:cfRule>
  </x:conditionalFormatting>
  <x:conditionalFormatting sqref="C17:D17">
    <x:cfRule type="expression" dxfId="14" priority="11">
      <x:formula>$C17&lt;&gt;$D17</x:formula>
    </x:cfRule>
  </x:conditionalFormatting>
  <x:conditionalFormatting sqref="C18:D18">
    <x:cfRule type="expression" dxfId="15" priority="12">
      <x:formula>$C18&lt;&gt;$D18</x:formula>
    </x:cfRule>
  </x:conditionalFormatting>
  <x:conditionalFormatting sqref="C19:D19">
    <x:cfRule type="expression" dxfId="16" priority="13">
      <x:formula>$C19&lt;&gt;$D19</x:formula>
    </x:cfRule>
  </x:conditionalFormatting>
  <x:conditionalFormatting sqref="C20:D20">
    <x:cfRule type="expression" dxfId="17" priority="14">
      <x:formula>$C20&lt;&gt;$D20</x:formula>
    </x:cfRule>
  </x:conditionalFormatting>
  <x:conditionalFormatting sqref="C21:D21">
    <x:cfRule type="expression" dxfId="18" priority="15">
      <x:formula>$C21&lt;&gt;$D21</x:formula>
    </x:cfRule>
  </x:conditionalFormatting>
  <x:conditionalFormatting sqref="C22:D22">
    <x:cfRule type="expression" dxfId="19" priority="16">
      <x:formula>$C22&lt;&gt;$D22</x:formula>
    </x:cfRule>
  </x:conditionalFormatting>
  <x:conditionalFormatting sqref="C23:D23">
    <x:cfRule type="expression" dxfId="20" priority="17">
      <x:formula>$C23&lt;&gt;$D23</x:formula>
    </x:cfRule>
  </x:conditionalFormatting>
  <x:conditionalFormatting sqref="C24:D24">
    <x:cfRule type="expression" dxfId="21" priority="18">
      <x:formula>$C24&lt;&gt;$D24</x:formula>
    </x:cfRule>
  </x:conditionalFormatting>
  <x:conditionalFormatting sqref="C25:D25">
    <x:cfRule type="expression" dxfId="22" priority="19">
      <x:formula>$C25&lt;&gt;$D25</x:formula>
    </x:cfRule>
  </x:conditionalFormatting>
  <x:conditionalFormatting sqref="C26:D26">
    <x:cfRule type="expression" dxfId="23" priority="20">
      <x:formula>$C26&lt;&gt;$D26</x:formula>
    </x:cfRule>
  </x:conditionalFormatting>
  <x:conditionalFormatting sqref="C27:D27">
    <x:cfRule type="expression" dxfId="24" priority="21">
      <x:formula>$C27&lt;&gt;$D27</x:formula>
    </x:cfRule>
  </x:conditionalFormatting>
  <x:conditionalFormatting sqref="C28:D28">
    <x:cfRule type="expression" dxfId="25" priority="22">
      <x:formula>$C28&lt;&gt;$D28</x:formula>
    </x:cfRule>
  </x:conditionalFormatting>
  <x:conditionalFormatting sqref="C29:D29">
    <x:cfRule type="expression" dxfId="26" priority="23">
      <x:formula>$C29&lt;&gt;$D29</x:formula>
    </x:cfRule>
  </x:conditionalFormatting>
  <x:conditionalFormatting sqref="C30:D30">
    <x:cfRule type="expression" dxfId="27" priority="24">
      <x:formula>$C30&lt;&gt;$D30</x:formula>
    </x:cfRule>
  </x:conditionalFormatting>
  <x:conditionalFormatting sqref="C31:D31">
    <x:cfRule type="expression" dxfId="28" priority="25">
      <x:formula>$C31&lt;&gt;$D31</x:formula>
    </x:cfRule>
  </x:conditionalFormatting>
  <x:conditionalFormatting sqref="C32:D32">
    <x:cfRule type="expression" dxfId="29" priority="26">
      <x:formula>$C32&lt;&gt;$D32</x:formula>
    </x:cfRule>
  </x:conditionalFormatting>
  <x:conditionalFormatting sqref="C33:D33">
    <x:cfRule type="expression" dxfId="30" priority="27">
      <x:formula>$C33&lt;&gt;$D33</x:formula>
    </x:cfRule>
  </x:conditionalFormatting>
  <x:conditionalFormatting sqref="C34:D34">
    <x:cfRule type="expression" dxfId="31" priority="28">
      <x:formula>$C34&lt;&gt;$D34</x:formula>
    </x:cfRule>
  </x:conditionalFormatting>
  <x:conditionalFormatting sqref="C35:D35">
    <x:cfRule type="expression" dxfId="32" priority="29">
      <x:formula>$C35&lt;&gt;$D35</x:formula>
    </x:cfRule>
  </x:conditionalFormatting>
  <x:conditionalFormatting sqref="C36:D36">
    <x:cfRule type="expression" dxfId="33" priority="30">
      <x:formula>$C36&lt;&gt;$D36</x:formula>
    </x:cfRule>
  </x:conditionalFormatting>
  <x:conditionalFormatting sqref="C37:D37">
    <x:cfRule type="expression" dxfId="34" priority="31">
      <x:formula>$C37&lt;&gt;$D37</x:formula>
    </x:cfRule>
  </x:conditionalFormatting>
  <x:conditionalFormatting sqref="C38:D38">
    <x:cfRule type="expression" dxfId="35" priority="32">
      <x:formula>$C38&lt;&gt;$D38</x:formula>
    </x:cfRule>
  </x:conditionalFormatting>
  <x:conditionalFormatting sqref="C39:D39">
    <x:cfRule type="expression" dxfId="36" priority="33">
      <x:formula>$C39&lt;&gt;$D39</x:formula>
    </x:cfRule>
  </x:conditionalFormatting>
  <x:conditionalFormatting sqref="C40:D40">
    <x:cfRule type="expression" dxfId="37" priority="34">
      <x:formula>$C40&lt;&gt;$D40</x:formula>
    </x:cfRule>
  </x:conditionalFormatting>
  <x:conditionalFormatting sqref="C41:D41">
    <x:cfRule type="expression" dxfId="38" priority="35">
      <x:formula>$C41&lt;&gt;$D41</x:formula>
    </x:cfRule>
  </x:conditionalFormatting>
  <x:conditionalFormatting sqref="C42:D42">
    <x:cfRule type="expression" dxfId="39" priority="36">
      <x:formula>$C42&lt;&gt;$D42</x:formula>
    </x:cfRule>
  </x:conditionalFormatting>
  <x:conditionalFormatting sqref="C43:D43">
    <x:cfRule type="expression" dxfId="40" priority="37">
      <x:formula>$C43&lt;&gt;$D43</x:formula>
    </x:cfRule>
  </x:conditionalFormatting>
  <x:conditionalFormatting sqref="C44:D44">
    <x:cfRule type="expression" dxfId="41" priority="38">
      <x:formula>$C44&lt;&gt;$D44</x:formula>
    </x:cfRule>
  </x:conditionalFormatting>
  <x:conditionalFormatting sqref="C45:D45">
    <x:cfRule type="expression" dxfId="42" priority="39">
      <x:formula>$C45&lt;&gt;$D45</x:formula>
    </x:cfRule>
  </x:conditionalFormatting>
  <x:conditionalFormatting sqref="C46:D46">
    <x:cfRule type="expression" dxfId="43" priority="40">
      <x:formula>$C46&lt;&gt;$D46</x:formula>
    </x:cfRule>
  </x:conditionalFormatting>
  <x:conditionalFormatting sqref="C47:D47">
    <x:cfRule type="expression" dxfId="44" priority="41">
      <x:formula>$C47&lt;&gt;$D47</x:formula>
    </x:cfRule>
  </x:conditionalFormatting>
  <x:conditionalFormatting sqref="C48:D48">
    <x:cfRule type="expression" dxfId="45" priority="42">
      <x:formula>$C48&lt;&gt;$D48</x:formula>
    </x:cfRule>
  </x:conditionalFormatting>
  <x:conditionalFormatting sqref="C49:D49">
    <x:cfRule type="expression" dxfId="46" priority="43">
      <x:formula>$C49&lt;&gt;$D49</x:formula>
    </x:cfRule>
  </x:conditionalFormatting>
  <x:conditionalFormatting sqref="C50:D50">
    <x:cfRule type="expression" dxfId="47" priority="44">
      <x:formula>$C50&lt;&gt;$D50</x:formula>
    </x:cfRule>
  </x:conditionalFormatting>
  <x:conditionalFormatting sqref="C51:D51">
    <x:cfRule type="expression" dxfId="48" priority="45">
      <x:formula>$C51&lt;&gt;$D51</x:formula>
    </x:cfRule>
  </x:conditionalFormatting>
  <x:conditionalFormatting sqref="C52:D52">
    <x:cfRule type="expression" dxfId="49" priority="46">
      <x:formula>$C52&lt;&gt;$D52</x:formula>
    </x:cfRule>
  </x:conditionalFormatting>
  <x:conditionalFormatting sqref="C53:D53">
    <x:cfRule type="expression" dxfId="50" priority="47">
      <x:formula>$C53&lt;&gt;$D53</x:formula>
    </x:cfRule>
  </x:conditionalFormatting>
  <x:conditionalFormatting sqref="C54:D54">
    <x:cfRule type="expression" dxfId="51" priority="48">
      <x:formula>$C54&lt;&gt;$D54</x:formula>
    </x:cfRule>
  </x:conditionalFormatting>
  <x:conditionalFormatting sqref="C55:D55">
    <x:cfRule type="expression" dxfId="52" priority="49">
      <x:formula>$C55&lt;&gt;$D55</x:formula>
    </x:cfRule>
  </x:conditionalFormatting>
  <x:conditionalFormatting sqref="C56:D56">
    <x:cfRule type="expression" dxfId="53" priority="50">
      <x:formula>$C56&lt;&gt;$D56</x:formula>
    </x:cfRule>
  </x:conditionalFormatting>
  <x:conditionalFormatting sqref="C57:D57">
    <x:cfRule type="expression" dxfId="54" priority="51">
      <x:formula>$C57&lt;&gt;$D57</x:formula>
    </x:cfRule>
  </x:conditionalFormatting>
  <x:conditionalFormatting sqref="C58:D58">
    <x:cfRule type="expression" dxfId="55" priority="52">
      <x:formula>$C58&lt;&gt;$D58</x:formula>
    </x:cfRule>
  </x:conditionalFormatting>
  <x:conditionalFormatting sqref="C59:D59">
    <x:cfRule type="expression" dxfId="56" priority="53">
      <x:formula>$C59&lt;&gt;$D59</x:formula>
    </x:cfRule>
  </x:conditionalFormatting>
  <x:conditionalFormatting sqref="C60:D60">
    <x:cfRule type="expression" dxfId="57" priority="54">
      <x:formula>$C60&lt;&gt;$D60</x:formula>
    </x:cfRule>
  </x:conditionalFormatting>
  <x:conditionalFormatting sqref="C61:D61">
    <x:cfRule type="expression" dxfId="58" priority="55">
      <x:formula>$C61&lt;&gt;$D61</x:formula>
    </x:cfRule>
  </x:conditionalFormatting>
  <x:conditionalFormatting sqref="C62:D62">
    <x:cfRule type="expression" dxfId="59" priority="56">
      <x:formula>$C62&lt;&gt;$D62</x:formula>
    </x:cfRule>
  </x:conditionalFormatting>
  <x:conditionalFormatting sqref="C63:D63">
    <x:cfRule type="expression" dxfId="60" priority="57">
      <x:formula>$C63&lt;&gt;$D63</x:formula>
    </x:cfRule>
  </x:conditionalFormatting>
  <x:conditionalFormatting sqref="C64:D64">
    <x:cfRule type="expression" dxfId="61" priority="58">
      <x:formula>$C64&lt;&gt;$D64</x:formula>
    </x:cfRule>
  </x:conditionalFormatting>
  <x:conditionalFormatting sqref="C65:D65">
    <x:cfRule type="expression" dxfId="62" priority="59">
      <x:formula>$C65&lt;&gt;$D65</x:formula>
    </x:cfRule>
  </x:conditionalFormatting>
  <x:conditionalFormatting sqref="C66:D66">
    <x:cfRule type="expression" dxfId="63" priority="60">
      <x:formula>$C66&lt;&gt;$D66</x:formula>
    </x:cfRule>
  </x:conditionalFormatting>
  <x:conditionalFormatting sqref="C67:D67">
    <x:cfRule type="expression" dxfId="64" priority="61">
      <x:formula>$C67&lt;&gt;$D67</x:formula>
    </x:cfRule>
  </x:conditionalFormatting>
  <x:conditionalFormatting sqref="C68:D68">
    <x:cfRule type="expression" dxfId="65" priority="62">
      <x:formula>$C68&lt;&gt;$D68</x:formula>
    </x:cfRule>
  </x:conditionalFormatting>
  <x:conditionalFormatting sqref="C69:D69">
    <x:cfRule type="expression" dxfId="66" priority="63">
      <x:formula>$C69&lt;&gt;$D69</x:formula>
    </x:cfRule>
  </x:conditionalFormatting>
  <x:conditionalFormatting sqref="C70:D70">
    <x:cfRule type="expression" dxfId="67" priority="64">
      <x:formula>$C70&lt;&gt;$D70</x:formula>
    </x:cfRule>
  </x:conditionalFormatting>
  <x:conditionalFormatting sqref="C71:D71">
    <x:cfRule type="expression" dxfId="68" priority="65">
      <x:formula>$C71&lt;&gt;$D71</x:formula>
    </x:cfRule>
  </x:conditionalFormatting>
  <x:conditionalFormatting sqref="C72:D72">
    <x:cfRule type="expression" dxfId="69" priority="66">
      <x:formula>$C72&lt;&gt;$D72</x:formula>
    </x:cfRule>
  </x:conditionalFormatting>
  <x:conditionalFormatting sqref="C73:D73">
    <x:cfRule type="expression" dxfId="70" priority="67">
      <x:formula>$C73&lt;&gt;$D73</x:formula>
    </x:cfRule>
  </x:conditionalFormatting>
  <x:conditionalFormatting sqref="C74:D74">
    <x:cfRule type="expression" dxfId="71" priority="68">
      <x:formula>$C74&lt;&gt;$D74</x:formula>
    </x:cfRule>
  </x:conditionalFormatting>
  <x:conditionalFormatting sqref="C75:D75">
    <x:cfRule type="expression" dxfId="72" priority="69">
      <x:formula>$C75&lt;&gt;$D75</x:formula>
    </x:cfRule>
  </x:conditionalFormatting>
  <x:conditionalFormatting sqref="C76:D76">
    <x:cfRule type="expression" dxfId="73" priority="70">
      <x:formula>$C76&lt;&gt;$D76</x:formula>
    </x:cfRule>
  </x:conditionalFormatting>
  <x:conditionalFormatting sqref="C77:D77">
    <x:cfRule type="expression" dxfId="74" priority="71">
      <x:formula>$C77&lt;&gt;$D77</x:formula>
    </x:cfRule>
  </x:conditionalFormatting>
  <x:conditionalFormatting sqref="C78:D78">
    <x:cfRule type="expression" dxfId="75" priority="72">
      <x:formula>$C78&lt;&gt;$D78</x:formula>
    </x:cfRule>
  </x:conditionalFormatting>
  <x:conditionalFormatting sqref="C79:D79">
    <x:cfRule type="expression" dxfId="76" priority="73">
      <x:formula>$C79&lt;&gt;$D79</x:formula>
    </x:cfRule>
  </x:conditionalFormatting>
  <x:conditionalFormatting sqref="C80:D80">
    <x:cfRule type="expression" dxfId="77" priority="74">
      <x:formula>$C80&lt;&gt;$D80</x:formula>
    </x:cfRule>
  </x:conditionalFormatting>
  <x:conditionalFormatting sqref="C81:D81">
    <x:cfRule type="expression" dxfId="78" priority="75">
      <x:formula>$C81&lt;&gt;$D81</x:formula>
    </x:cfRule>
  </x:conditionalFormatting>
  <x:conditionalFormatting sqref="C82:D82">
    <x:cfRule type="expression" dxfId="79" priority="76">
      <x:formula>$C82&lt;&gt;$D82</x:formula>
    </x:cfRule>
  </x:conditionalFormatting>
  <x:conditionalFormatting sqref="C83:D83">
    <x:cfRule type="expression" dxfId="80" priority="77">
      <x:formula>$C83&lt;&gt;$D83</x:formula>
    </x:cfRule>
  </x:conditionalFormatting>
  <x:conditionalFormatting sqref="C84:D84">
    <x:cfRule type="expression" dxfId="81" priority="78">
      <x:formula>$C84&lt;&gt;$D84</x:formula>
    </x:cfRule>
  </x:conditionalFormatting>
  <x:conditionalFormatting sqref="C85:D85">
    <x:cfRule type="expression" dxfId="82" priority="79">
      <x:formula>$C85&lt;&gt;$D85</x:formula>
    </x:cfRule>
  </x:conditionalFormatting>
  <x:conditionalFormatting sqref="C86:D86">
    <x:cfRule type="expression" dxfId="83" priority="80">
      <x:formula>$C86&lt;&gt;$D86</x:formula>
    </x:cfRule>
  </x:conditionalFormatting>
  <x:conditionalFormatting sqref="C87:D87">
    <x:cfRule type="expression" dxfId="84" priority="81">
      <x:formula>$C87&lt;&gt;$D87</x:formula>
    </x:cfRule>
  </x:conditionalFormatting>
  <x:conditionalFormatting sqref="C88:D88">
    <x:cfRule type="expression" dxfId="85" priority="82">
      <x:formula>$C88&lt;&gt;$D88</x:formula>
    </x:cfRule>
  </x:conditionalFormatting>
  <x:conditionalFormatting sqref="C89:D89">
    <x:cfRule type="expression" dxfId="86" priority="83">
      <x:formula>$C89&lt;&gt;$D89</x:formula>
    </x:cfRule>
  </x:conditionalFormatting>
  <x:conditionalFormatting sqref="C90:D90">
    <x:cfRule type="expression" dxfId="87" priority="84">
      <x:formula>$C90&lt;&gt;$D90</x:formula>
    </x:cfRule>
  </x:conditionalFormatting>
  <x:conditionalFormatting sqref="C91:D91">
    <x:cfRule type="expression" dxfId="88" priority="85">
      <x:formula>$C91&lt;&gt;$D91</x:formula>
    </x:cfRule>
  </x:conditionalFormatting>
  <x:conditionalFormatting sqref="C92:D92">
    <x:cfRule type="expression" dxfId="89" priority="86">
      <x:formula>$C92&lt;&gt;$D92</x:formula>
    </x:cfRule>
  </x:conditionalFormatting>
  <x:conditionalFormatting sqref="C93:D93">
    <x:cfRule type="expression" dxfId="90" priority="87">
      <x:formula>$C93&lt;&gt;$D93</x:formula>
    </x:cfRule>
  </x:conditionalFormatting>
  <x:conditionalFormatting sqref="C94:D94">
    <x:cfRule type="expression" dxfId="91" priority="88">
      <x:formula>$C94&lt;&gt;$D94</x:formula>
    </x:cfRule>
  </x:conditionalFormatting>
  <x:conditionalFormatting sqref="C95:D95">
    <x:cfRule type="expression" dxfId="92" priority="89">
      <x:formula>$C95&lt;&gt;$D95</x:formula>
    </x:cfRule>
  </x:conditionalFormatting>
  <x:conditionalFormatting sqref="C96:D96">
    <x:cfRule type="expression" dxfId="93" priority="90">
      <x:formula>$C96&lt;&gt;$D96</x:formula>
    </x:cfRule>
  </x:conditionalFormatting>
  <x:conditionalFormatting sqref="C97:D97">
    <x:cfRule type="expression" dxfId="94" priority="91">
      <x:formula>$C97&lt;&gt;$D97</x:formula>
    </x:cfRule>
  </x:conditionalFormatting>
  <x:conditionalFormatting sqref="C98:D98">
    <x:cfRule type="expression" dxfId="95" priority="92">
      <x:formula>$C98&lt;&gt;$D98</x:formula>
    </x:cfRule>
  </x:conditionalFormatting>
  <x:conditionalFormatting sqref="C99:D99">
    <x:cfRule type="expression" dxfId="96" priority="93">
      <x:formula>$C99&lt;&gt;$D99</x:formula>
    </x:cfRule>
  </x:conditionalFormatting>
  <x:conditionalFormatting sqref="C100:D100">
    <x:cfRule type="expression" dxfId="97" priority="94">
      <x:formula>$C100&lt;&gt;$D100</x:formula>
    </x:cfRule>
  </x:conditionalFormatting>
  <x:conditionalFormatting sqref="C101:D101">
    <x:cfRule type="expression" dxfId="98" priority="95">
      <x:formula>$C101&lt;&gt;$D101</x:formula>
    </x:cfRule>
  </x:conditionalFormatting>
  <x:conditionalFormatting sqref="C102:D102">
    <x:cfRule type="expression" dxfId="99" priority="96">
      <x:formula>$C102&lt;&gt;$D102</x:formula>
    </x:cfRule>
  </x:conditionalFormatting>
  <x:conditionalFormatting sqref="C103:D103">
    <x:cfRule type="expression" dxfId="100" priority="97">
      <x:formula>$C103&lt;&gt;$D103</x:formula>
    </x:cfRule>
  </x:conditionalFormatting>
  <x:conditionalFormatting sqref="C104:D104">
    <x:cfRule type="expression" dxfId="101" priority="98">
      <x:formula>$C104&lt;&gt;$D104</x:formula>
    </x:cfRule>
  </x:conditionalFormatting>
  <x:conditionalFormatting sqref="C105:D105">
    <x:cfRule type="expression" dxfId="102" priority="99">
      <x:formula>$C105&lt;&gt;$D105</x:formula>
    </x:cfRule>
  </x:conditionalFormatting>
  <x:conditionalFormatting sqref="C106:D106">
    <x:cfRule type="expression" dxfId="103" priority="100">
      <x:formula>$C106&lt;&gt;$D106</x:formula>
    </x:cfRule>
  </x:conditionalFormatting>
  <x:conditionalFormatting sqref="C107:D107">
    <x:cfRule type="expression" dxfId="104" priority="101">
      <x:formula>$C107&lt;&gt;$D107</x:formula>
    </x:cfRule>
  </x:conditionalFormatting>
  <x:conditionalFormatting sqref="C108:D108">
    <x:cfRule type="expression" dxfId="105" priority="102">
      <x:formula>$C108&lt;&gt;$D108</x:formula>
    </x:cfRule>
  </x:conditionalFormatting>
  <x:conditionalFormatting sqref="C109:D109">
    <x:cfRule type="expression" dxfId="106" priority="103">
      <x:formula>$C109&lt;&gt;$D109</x:formula>
    </x:cfRule>
  </x:conditionalFormatting>
  <x:conditionalFormatting sqref="C110:D110">
    <x:cfRule type="expression" dxfId="107" priority="104">
      <x:formula>$C110&lt;&gt;$D110</x:formula>
    </x:cfRule>
  </x:conditionalFormatting>
  <x:conditionalFormatting sqref="C111:D111">
    <x:cfRule type="expression" dxfId="108" priority="105">
      <x:formula>$C111&lt;&gt;$D111</x:formula>
    </x:cfRule>
  </x:conditionalFormatting>
  <x:conditionalFormatting sqref="C112:D112">
    <x:cfRule type="expression" dxfId="109" priority="106">
      <x:formula>$C112&lt;&gt;$D112</x:formula>
    </x:cfRule>
  </x:conditionalFormatting>
  <x:conditionalFormatting sqref="C113:D113">
    <x:cfRule type="expression" dxfId="110" priority="107">
      <x:formula>$C113&lt;&gt;$D113</x:formula>
    </x:cfRule>
  </x:conditionalFormatting>
  <x:conditionalFormatting sqref="C114:D114">
    <x:cfRule type="expression" dxfId="111" priority="108">
      <x:formula>$C114&lt;&gt;$D114</x:formula>
    </x:cfRule>
  </x:conditionalFormatting>
  <x:conditionalFormatting sqref="C115:D115">
    <x:cfRule type="expression" dxfId="112" priority="109">
      <x:formula>$C115&lt;&gt;$D115</x:formula>
    </x:cfRule>
  </x:conditionalFormatting>
  <x:conditionalFormatting sqref="C116:D116">
    <x:cfRule type="expression" dxfId="113" priority="110">
      <x:formula>$C116&lt;&gt;$D116</x:formula>
    </x:cfRule>
  </x:conditionalFormatting>
  <x:conditionalFormatting sqref="C117:D117">
    <x:cfRule type="expression" dxfId="114" priority="111">
      <x:formula>$C117&lt;&gt;$D117</x:formula>
    </x:cfRule>
  </x:conditionalFormatting>
  <x:conditionalFormatting sqref="C118:D118">
    <x:cfRule type="expression" dxfId="115" priority="112">
      <x:formula>$C118&lt;&gt;$D118</x:formula>
    </x:cfRule>
  </x:conditionalFormatting>
  <x:conditionalFormatting sqref="C119:D119">
    <x:cfRule type="expression" dxfId="116" priority="113">
      <x:formula>$C119&lt;&gt;$D119</x:formula>
    </x:cfRule>
  </x:conditionalFormatting>
  <x:conditionalFormatting sqref="C120:D120">
    <x:cfRule type="expression" dxfId="117" priority="114">
      <x:formula>$C120&lt;&gt;$D120</x:formula>
    </x:cfRule>
  </x:conditionalFormatting>
  <x:conditionalFormatting sqref="C121:D121">
    <x:cfRule type="expression" dxfId="118" priority="115">
      <x:formula>$C121&lt;&gt;$D121</x:formula>
    </x:cfRule>
  </x:conditionalFormatting>
  <x:conditionalFormatting sqref="C122:D122">
    <x:cfRule type="expression" dxfId="119" priority="116">
      <x:formula>$C122&lt;&gt;$D122</x:formula>
    </x:cfRule>
  </x:conditionalFormatting>
  <x:conditionalFormatting sqref="C123:D123">
    <x:cfRule type="expression" dxfId="120" priority="117">
      <x:formula>$C123&lt;&gt;$D123</x:formula>
    </x:cfRule>
  </x:conditionalFormatting>
  <x:conditionalFormatting sqref="C124:D124">
    <x:cfRule type="expression" dxfId="121" priority="118">
      <x:formula>$C124&lt;&gt;$D124</x:formula>
    </x:cfRule>
  </x:conditionalFormatting>
  <x:conditionalFormatting sqref="C125:D125">
    <x:cfRule type="expression" dxfId="122" priority="119">
      <x:formula>$C125&lt;&gt;$D125</x:formula>
    </x:cfRule>
  </x:conditionalFormatting>
  <x:conditionalFormatting sqref="C126:D126">
    <x:cfRule type="expression" dxfId="123" priority="120">
      <x:formula>$C126&lt;&gt;$D126</x:formula>
    </x:cfRule>
  </x:conditionalFormatting>
  <x:conditionalFormatting sqref="C127:D127">
    <x:cfRule type="expression" dxfId="124" priority="121">
      <x:formula>$C127&lt;&gt;$D127</x:formula>
    </x:cfRule>
  </x:conditionalFormatting>
  <x:conditionalFormatting sqref="C128:D128">
    <x:cfRule type="expression" dxfId="125" priority="122">
      <x:formula>$C128&lt;&gt;$D128</x:formula>
    </x:cfRule>
  </x:conditionalFormatting>
  <x:conditionalFormatting sqref="C129:D129">
    <x:cfRule type="expression" dxfId="126" priority="123">
      <x:formula>$C129&lt;&gt;$D129</x:formula>
    </x:cfRule>
  </x:conditionalFormatting>
  <x:conditionalFormatting sqref="C130:D130">
    <x:cfRule type="expression" dxfId="127" priority="124">
      <x:formula>$C130&lt;&gt;$D130</x:formula>
    </x:cfRule>
  </x:conditionalFormatting>
  <x:conditionalFormatting sqref="C131:D131">
    <x:cfRule type="expression" dxfId="128" priority="125">
      <x:formula>$C131&lt;&gt;$D131</x:formula>
    </x:cfRule>
  </x:conditionalFormatting>
  <x:conditionalFormatting sqref="C132:D132">
    <x:cfRule type="expression" dxfId="129" priority="126">
      <x:formula>$C132&lt;&gt;$D132</x:formula>
    </x:cfRule>
  </x:conditionalFormatting>
  <x:conditionalFormatting sqref="C133:D133">
    <x:cfRule type="expression" dxfId="130" priority="127">
      <x:formula>$C133&lt;&gt;$D133</x:formula>
    </x:cfRule>
  </x:conditionalFormatting>
  <x:conditionalFormatting sqref="C134:D134">
    <x:cfRule type="expression" dxfId="131" priority="128">
      <x:formula>$C134&lt;&gt;$D134</x:formula>
    </x:cfRule>
  </x:conditionalFormatting>
  <x:conditionalFormatting sqref="C135:D135">
    <x:cfRule type="expression" dxfId="132" priority="129">
      <x:formula>$C135&lt;&gt;$D135</x:formula>
    </x:cfRule>
  </x:conditionalFormatting>
  <x:conditionalFormatting sqref="C136:D136">
    <x:cfRule type="expression" dxfId="133" priority="130">
      <x:formula>$C136&lt;&gt;$D136</x:formula>
    </x:cfRule>
  </x:conditionalFormatting>
  <x:conditionalFormatting sqref="C137:D137">
    <x:cfRule type="expression" dxfId="134" priority="131">
      <x:formula>$C137&lt;&gt;$D137</x:formula>
    </x:cfRule>
  </x:conditionalFormatting>
  <x:conditionalFormatting sqref="C138:D138">
    <x:cfRule type="expression" dxfId="135" priority="132">
      <x:formula>$C138&lt;&gt;$D138</x:formula>
    </x:cfRule>
  </x:conditionalFormatting>
  <x:conditionalFormatting sqref="C139:D139">
    <x:cfRule type="expression" dxfId="136" priority="133">
      <x:formula>$C139&lt;&gt;$D139</x:formula>
    </x:cfRule>
  </x:conditionalFormatting>
  <x:conditionalFormatting sqref="C140:D140">
    <x:cfRule type="expression" dxfId="137" priority="134">
      <x:formula>$C140&lt;&gt;$D140</x:formula>
    </x:cfRule>
  </x:conditionalFormatting>
  <x:conditionalFormatting sqref="C141:D141">
    <x:cfRule type="expression" dxfId="138" priority="135">
      <x:formula>$C141&lt;&gt;$D141</x:formula>
    </x:cfRule>
  </x:conditionalFormatting>
  <x:conditionalFormatting sqref="C142:D142">
    <x:cfRule type="expression" dxfId="139" priority="136">
      <x:formula>$C142&lt;&gt;$D142</x:formula>
    </x:cfRule>
  </x:conditionalFormatting>
  <x:conditionalFormatting sqref="C143:D143">
    <x:cfRule type="expression" dxfId="140" priority="137">
      <x:formula>$C143&lt;&gt;$D143</x:formula>
    </x:cfRule>
  </x:conditionalFormatting>
  <x:conditionalFormatting sqref="C144:D144">
    <x:cfRule type="expression" dxfId="141" priority="138">
      <x:formula>$C144&lt;&gt;$D144</x:formula>
    </x:cfRule>
  </x:conditionalFormatting>
  <x:conditionalFormatting sqref="C145:D145">
    <x:cfRule type="expression" dxfId="142" priority="139">
      <x:formula>$C145&lt;&gt;$D145</x:formula>
    </x:cfRule>
  </x:conditionalFormatting>
  <x:conditionalFormatting sqref="C146:D146">
    <x:cfRule type="expression" dxfId="143" priority="140">
      <x:formula>$C146&lt;&gt;$D146</x:formula>
    </x:cfRule>
  </x:conditionalFormatting>
  <x:conditionalFormatting sqref="C147:D147">
    <x:cfRule type="expression" dxfId="144" priority="141">
      <x:formula>$C147&lt;&gt;$D147</x:formula>
    </x:cfRule>
  </x:conditionalFormatting>
  <x:conditionalFormatting sqref="C148:D148">
    <x:cfRule type="expression" dxfId="145" priority="142">
      <x:formula>$C148&lt;&gt;$D148</x:formula>
    </x:cfRule>
  </x:conditionalFormatting>
  <x:conditionalFormatting sqref="C149:D149">
    <x:cfRule type="expression" dxfId="146" priority="143">
      <x:formula>$C149&lt;&gt;$D149</x:formula>
    </x:cfRule>
  </x:conditionalFormatting>
  <x:conditionalFormatting sqref="C150:D150">
    <x:cfRule type="expression" dxfId="147" priority="144">
      <x:formula>$C150&lt;&gt;$D150</x:formula>
    </x:cfRule>
  </x:conditionalFormatting>
  <x:conditionalFormatting sqref="C151:D151">
    <x:cfRule type="expression" dxfId="148" priority="145">
      <x:formula>$C151&lt;&gt;$D151</x:formula>
    </x:cfRule>
  </x:conditionalFormatting>
  <x:conditionalFormatting sqref="C152:D152">
    <x:cfRule type="expression" dxfId="149" priority="146">
      <x:formula>$C152&lt;&gt;$D152</x:formula>
    </x:cfRule>
  </x:conditionalFormatting>
  <x:conditionalFormatting sqref="C153:D153">
    <x:cfRule type="expression" dxfId="150" priority="147">
      <x:formula>$C153&lt;&gt;$D153</x:formula>
    </x:cfRule>
  </x:conditionalFormatting>
  <x:conditionalFormatting sqref="C154:D154">
    <x:cfRule type="expression" dxfId="151" priority="148">
      <x:formula>$C154&lt;&gt;$D154</x:formula>
    </x:cfRule>
  </x:conditionalFormatting>
  <x:conditionalFormatting sqref="C155:D155">
    <x:cfRule type="expression" dxfId="152" priority="149">
      <x:formula>$C155&lt;&gt;$D155</x:formula>
    </x:cfRule>
  </x:conditionalFormatting>
  <x:conditionalFormatting sqref="C156:D156">
    <x:cfRule type="expression" dxfId="153" priority="150">
      <x:formula>$C156&lt;&gt;$D156</x:formula>
    </x:cfRule>
  </x:conditionalFormatting>
  <x:conditionalFormatting sqref="C157:D157">
    <x:cfRule type="expression" dxfId="154" priority="151">
      <x:formula>$C157&lt;&gt;$D157</x:formula>
    </x:cfRule>
  </x:conditionalFormatting>
  <x:conditionalFormatting sqref="C158:D158">
    <x:cfRule type="expression" dxfId="155" priority="152">
      <x:formula>$C158&lt;&gt;$D158</x:formula>
    </x:cfRule>
  </x:conditionalFormatting>
  <x:conditionalFormatting sqref="C159:D159">
    <x:cfRule type="expression" dxfId="156" priority="153">
      <x:formula>$C159&lt;&gt;$D159</x:formula>
    </x:cfRule>
  </x:conditionalFormatting>
  <x:conditionalFormatting sqref="C160:D160">
    <x:cfRule type="expression" dxfId="157" priority="154">
      <x:formula>$C160&lt;&gt;$D160</x:formula>
    </x:cfRule>
  </x:conditionalFormatting>
  <x:conditionalFormatting sqref="C161:D161">
    <x:cfRule type="expression" dxfId="158" priority="155">
      <x:formula>$C161&lt;&gt;$D161</x:formula>
    </x:cfRule>
  </x:conditionalFormatting>
  <x:conditionalFormatting sqref="C162:D162">
    <x:cfRule type="expression" dxfId="159" priority="156">
      <x:formula>$C162&lt;&gt;$D162</x:formula>
    </x:cfRule>
  </x:conditionalFormatting>
  <x:conditionalFormatting sqref="C163:D163">
    <x:cfRule type="expression" dxfId="160" priority="157">
      <x:formula>$C163&lt;&gt;$D163</x:formula>
    </x:cfRule>
  </x:conditionalFormatting>
  <x:conditionalFormatting sqref="C164:D164">
    <x:cfRule type="expression" dxfId="161" priority="158">
      <x:formula>$C164&lt;&gt;$D164</x:formula>
    </x:cfRule>
  </x:conditionalFormatting>
  <x:conditionalFormatting sqref="C165:D165">
    <x:cfRule type="expression" dxfId="162" priority="159">
      <x:formula>$C165&lt;&gt;$D165</x:formula>
    </x:cfRule>
  </x:conditionalFormatting>
  <x:conditionalFormatting sqref="C166:D166">
    <x:cfRule type="expression" dxfId="163" priority="160">
      <x:formula>$C166&lt;&gt;$D166</x:formula>
    </x:cfRule>
  </x:conditionalFormatting>
  <x:conditionalFormatting sqref="C167:D167">
    <x:cfRule type="expression" dxfId="164" priority="161">
      <x:formula>$C167&lt;&gt;$D167</x:formula>
    </x:cfRule>
  </x:conditionalFormatting>
  <x:conditionalFormatting sqref="C168:D168">
    <x:cfRule type="expression" dxfId="165" priority="162">
      <x:formula>$C168&lt;&gt;$D168</x:formula>
    </x:cfRule>
  </x:conditionalFormatting>
  <x:conditionalFormatting sqref="C169:D169">
    <x:cfRule type="expression" dxfId="166" priority="163">
      <x:formula>$C169&lt;&gt;$D169</x:formula>
    </x:cfRule>
  </x:conditionalFormatting>
  <x:conditionalFormatting sqref="C170:D170">
    <x:cfRule type="expression" dxfId="167" priority="164">
      <x:formula>$C170&lt;&gt;$D170</x:formula>
    </x:cfRule>
  </x:conditionalFormatting>
  <x:conditionalFormatting sqref="C171:D171">
    <x:cfRule type="expression" dxfId="168" priority="165">
      <x:formula>$C171&lt;&gt;$D171</x:formula>
    </x:cfRule>
  </x:conditionalFormatting>
  <x:conditionalFormatting sqref="C172:D172">
    <x:cfRule type="expression" dxfId="169" priority="166">
      <x:formula>$C172&lt;&gt;$D172</x:formula>
    </x:cfRule>
  </x:conditionalFormatting>
  <x:conditionalFormatting sqref="C173:D173">
    <x:cfRule type="expression" dxfId="170" priority="167">
      <x:formula>$C173&lt;&gt;$D173</x:formula>
    </x:cfRule>
  </x:conditionalFormatting>
  <x:conditionalFormatting sqref="C174:D174">
    <x:cfRule type="expression" dxfId="171" priority="168">
      <x:formula>$C174&lt;&gt;$D174</x:formula>
    </x:cfRule>
  </x:conditionalFormatting>
  <x:conditionalFormatting sqref="C175:D175">
    <x:cfRule type="expression" dxfId="172" priority="169">
      <x:formula>$C175&lt;&gt;$D175</x:formula>
    </x:cfRule>
  </x:conditionalFormatting>
  <x:conditionalFormatting sqref="C176:D176">
    <x:cfRule type="expression" dxfId="173" priority="170">
      <x:formula>$C176&lt;&gt;$D176</x:formula>
    </x:cfRule>
  </x:conditionalFormatting>
  <x:conditionalFormatting sqref="C177:D177">
    <x:cfRule type="expression" dxfId="174" priority="171">
      <x:formula>$C177&lt;&gt;$D177</x:formula>
    </x:cfRule>
  </x:conditionalFormatting>
  <x:conditionalFormatting sqref="C178:D178">
    <x:cfRule type="expression" dxfId="175" priority="172">
      <x:formula>$C178&lt;&gt;$D178</x:formula>
    </x:cfRule>
  </x:conditionalFormatting>
  <x:conditionalFormatting sqref="C179:D179">
    <x:cfRule type="expression" dxfId="176" priority="173">
      <x:formula>$C179&lt;&gt;$D179</x:formula>
    </x:cfRule>
  </x:conditionalFormatting>
  <x:conditionalFormatting sqref="C180:D180">
    <x:cfRule type="expression" dxfId="177" priority="174">
      <x:formula>$C180&lt;&gt;$D180</x:formula>
    </x:cfRule>
  </x:conditionalFormatting>
  <x:conditionalFormatting sqref="C181:D181">
    <x:cfRule type="expression" dxfId="178" priority="175">
      <x:formula>$C181&lt;&gt;$D181</x:formula>
    </x:cfRule>
  </x:conditionalFormatting>
  <x:conditionalFormatting sqref="C182:D182">
    <x:cfRule type="expression" dxfId="179" priority="176">
      <x:formula>$C182&lt;&gt;$D182</x:formula>
    </x:cfRule>
  </x:conditionalFormatting>
  <x:conditionalFormatting sqref="C183:D183">
    <x:cfRule type="expression" dxfId="180" priority="177">
      <x:formula>$C183&lt;&gt;$D183</x:formula>
    </x:cfRule>
  </x:conditionalFormatting>
  <x:conditionalFormatting sqref="C184:D184">
    <x:cfRule type="expression" dxfId="181" priority="178">
      <x:formula>$C184&lt;&gt;$D184</x:formula>
    </x:cfRule>
  </x:conditionalFormatting>
  <x:conditionalFormatting sqref="C185:D185">
    <x:cfRule type="expression" dxfId="182" priority="179">
      <x:formula>$C185&lt;&gt;$D185</x:formula>
    </x:cfRule>
  </x:conditionalFormatting>
  <x:conditionalFormatting sqref="C186:D186">
    <x:cfRule type="expression" dxfId="183" priority="180">
      <x:formula>$C186&lt;&gt;$D186</x:formula>
    </x:cfRule>
  </x:conditionalFormatting>
  <x:conditionalFormatting sqref="C187:D187">
    <x:cfRule type="expression" dxfId="184" priority="181">
      <x:formula>$C187&lt;&gt;$D187</x:formula>
    </x:cfRule>
  </x:conditionalFormatting>
  <x:conditionalFormatting sqref="C188:D188">
    <x:cfRule type="expression" dxfId="185" priority="182">
      <x:formula>$C188&lt;&gt;$D188</x:formula>
    </x:cfRule>
  </x:conditionalFormatting>
  <x:conditionalFormatting sqref="C189:D189">
    <x:cfRule type="expression" dxfId="186" priority="183">
      <x:formula>$C189&lt;&gt;$D189</x:formula>
    </x:cfRule>
  </x:conditionalFormatting>
  <x:conditionalFormatting sqref="C190:D190">
    <x:cfRule type="expression" dxfId="187" priority="184">
      <x:formula>$C190&lt;&gt;$D190</x:formula>
    </x:cfRule>
  </x:conditionalFormatting>
  <x:conditionalFormatting sqref="C191:D191">
    <x:cfRule type="expression" dxfId="188" priority="185">
      <x:formula>$C191&lt;&gt;$D191</x:formula>
    </x:cfRule>
  </x:conditionalFormatting>
  <x:conditionalFormatting sqref="C192:D192">
    <x:cfRule type="expression" dxfId="189" priority="186">
      <x:formula>$C192&lt;&gt;$D192</x:formula>
    </x:cfRule>
  </x:conditionalFormatting>
  <x:conditionalFormatting sqref="C193:D193">
    <x:cfRule type="expression" dxfId="190" priority="187">
      <x:formula>$C193&lt;&gt;$D193</x:formula>
    </x:cfRule>
  </x:conditionalFormatting>
  <x:conditionalFormatting sqref="C194:D194">
    <x:cfRule type="expression" dxfId="191" priority="188">
      <x:formula>$C194&lt;&gt;$D194</x:formula>
    </x:cfRule>
  </x:conditionalFormatting>
  <x:conditionalFormatting sqref="C195:D195">
    <x:cfRule type="expression" dxfId="192" priority="189">
      <x:formula>$C195&lt;&gt;$D195</x:formula>
    </x:cfRule>
  </x:conditionalFormatting>
  <x:conditionalFormatting sqref="C196:D196">
    <x:cfRule type="expression" dxfId="193" priority="190">
      <x:formula>$C196&lt;&gt;$D196</x:formula>
    </x:cfRule>
  </x:conditionalFormatting>
  <x:conditionalFormatting sqref="C197:D197">
    <x:cfRule type="expression" dxfId="194" priority="191">
      <x:formula>$C197&lt;&gt;$D197</x:formula>
    </x:cfRule>
  </x:conditionalFormatting>
  <x:conditionalFormatting sqref="C198:D198">
    <x:cfRule type="expression" dxfId="195" priority="192">
      <x:formula>$C198&lt;&gt;$D198</x:formula>
    </x:cfRule>
  </x:conditionalFormatting>
  <x:conditionalFormatting sqref="C199:D199">
    <x:cfRule type="expression" dxfId="196" priority="193">
      <x:formula>$C199&lt;&gt;$D199</x:formula>
    </x:cfRule>
  </x:conditionalFormatting>
  <x:conditionalFormatting sqref="C200:D200">
    <x:cfRule type="expression" dxfId="197" priority="194">
      <x:formula>$C200&lt;&gt;$D200</x:formula>
    </x:cfRule>
  </x:conditionalFormatting>
  <x:conditionalFormatting sqref="C201:D201">
    <x:cfRule type="expression" dxfId="198" priority="195">
      <x:formula>$C201&lt;&gt;$D201</x:formula>
    </x:cfRule>
  </x:conditionalFormatting>
  <x:conditionalFormatting sqref="C202:D202">
    <x:cfRule type="expression" dxfId="199" priority="196">
      <x:formula>$C202&lt;&gt;$D202</x:formula>
    </x:cfRule>
  </x:conditionalFormatting>
  <x:conditionalFormatting sqref="C203:D203">
    <x:cfRule type="expression" dxfId="200" priority="197">
      <x:formula>$C203&lt;&gt;$D203</x:formula>
    </x:cfRule>
  </x:conditionalFormatting>
  <x:conditionalFormatting sqref="C204:D204">
    <x:cfRule type="expression" dxfId="201" priority="198">
      <x:formula>$C204&lt;&gt;$D204</x:formula>
    </x:cfRule>
  </x:conditionalFormatting>
  <x:conditionalFormatting sqref="C205:D205">
    <x:cfRule type="expression" dxfId="202" priority="199">
      <x:formula>$C205&lt;&gt;$D205</x:formula>
    </x:cfRule>
  </x:conditionalFormatting>
  <x:conditionalFormatting sqref="C206:D206">
    <x:cfRule type="expression" dxfId="203" priority="200">
      <x:formula>$C206&lt;&gt;$D206</x:formula>
    </x:cfRule>
  </x:conditionalFormatting>
  <x:conditionalFormatting sqref="C207:D207">
    <x:cfRule type="expression" dxfId="204" priority="201">
      <x:formula>$C207&lt;&gt;$D207</x:formula>
    </x:cfRule>
  </x:conditionalFormatting>
  <x:conditionalFormatting sqref="C208:D208">
    <x:cfRule type="expression" dxfId="205" priority="202">
      <x:formula>$C208&lt;&gt;$D208</x:formula>
    </x:cfRule>
  </x:conditionalFormatting>
  <x:conditionalFormatting sqref="C209:D209">
    <x:cfRule type="expression" dxfId="206" priority="203">
      <x:formula>$C209&lt;&gt;$D209</x:formula>
    </x:cfRule>
  </x:conditionalFormatting>
  <x:conditionalFormatting sqref="C210:D210">
    <x:cfRule type="expression" dxfId="207" priority="204">
      <x:formula>$C210&lt;&gt;$D210</x:formula>
    </x:cfRule>
  </x:conditionalFormatting>
  <x:conditionalFormatting sqref="C211:D211">
    <x:cfRule type="expression" dxfId="208" priority="205">
      <x:formula>$C211&lt;&gt;$D211</x:formula>
    </x:cfRule>
  </x:conditionalFormatting>
  <x:conditionalFormatting sqref="C212:D212">
    <x:cfRule type="expression" dxfId="209" priority="206">
      <x:formula>$C212&lt;&gt;$D212</x:formula>
    </x:cfRule>
  </x:conditionalFormatting>
  <x:conditionalFormatting sqref="C213:D213">
    <x:cfRule type="expression" dxfId="210" priority="207">
      <x:formula>$C213&lt;&gt;$D213</x:formula>
    </x:cfRule>
  </x:conditionalFormatting>
  <x:conditionalFormatting sqref="C214:D214">
    <x:cfRule type="expression" dxfId="211" priority="208">
      <x:formula>$C214&lt;&gt;$D214</x:formula>
    </x:cfRule>
  </x:conditionalFormatting>
  <x:conditionalFormatting sqref="C215:D215">
    <x:cfRule type="expression" dxfId="212" priority="209">
      <x:formula>$C215&lt;&gt;$D215</x:formula>
    </x:cfRule>
  </x:conditionalFormatting>
  <x:conditionalFormatting sqref="C216:D216">
    <x:cfRule type="expression" dxfId="213" priority="210">
      <x:formula>$C216&lt;&gt;$D216</x:formula>
    </x:cfRule>
  </x:conditionalFormatting>
  <x:conditionalFormatting sqref="C217:D217">
    <x:cfRule type="expression" dxfId="214" priority="211">
      <x:formula>$C217&lt;&gt;$D217</x:formula>
    </x:cfRule>
  </x:conditionalFormatting>
  <x:conditionalFormatting sqref="C218:D218">
    <x:cfRule type="expression" dxfId="215" priority="212">
      <x:formula>$C218&lt;&gt;$D218</x:formula>
    </x:cfRule>
  </x:conditionalFormatting>
  <x:conditionalFormatting sqref="C219:D219">
    <x:cfRule type="expression" dxfId="216" priority="213">
      <x:formula>$C219&lt;&gt;$D219</x:formula>
    </x:cfRule>
  </x:conditionalFormatting>
  <x:conditionalFormatting sqref="C220:D220">
    <x:cfRule type="expression" dxfId="217" priority="214">
      <x:formula>$C220&lt;&gt;$D220</x:formula>
    </x:cfRule>
  </x:conditionalFormatting>
  <x:conditionalFormatting sqref="C221:D221">
    <x:cfRule type="expression" dxfId="218" priority="215">
      <x:formula>$C221&lt;&gt;$D221</x:formula>
    </x:cfRule>
  </x:conditionalFormatting>
  <x:conditionalFormatting sqref="C222:D222">
    <x:cfRule type="expression" dxfId="219" priority="216">
      <x:formula>$C222&lt;&gt;$D222</x:formula>
    </x:cfRule>
  </x:conditionalFormatting>
  <x:conditionalFormatting sqref="C223:D223">
    <x:cfRule type="expression" dxfId="220" priority="217">
      <x:formula>$C223&lt;&gt;$D223</x:formula>
    </x:cfRule>
  </x:conditionalFormatting>
  <x:conditionalFormatting sqref="C224:D224">
    <x:cfRule type="expression" dxfId="221" priority="218">
      <x:formula>$C224&lt;&gt;$D224</x:formula>
    </x:cfRule>
  </x:conditionalFormatting>
  <x:conditionalFormatting sqref="C225:D225">
    <x:cfRule type="expression" dxfId="222" priority="219">
      <x:formula>$C225&lt;&gt;$D225</x:formula>
    </x:cfRule>
  </x:conditionalFormatting>
  <x:conditionalFormatting sqref="C226:D226">
    <x:cfRule type="expression" dxfId="223" priority="220">
      <x:formula>$C226&lt;&gt;$D226</x:formula>
    </x:cfRule>
  </x:conditionalFormatting>
  <x:conditionalFormatting sqref="C227:D227">
    <x:cfRule type="expression" dxfId="224" priority="221">
      <x:formula>$C227&lt;&gt;$D227</x:formula>
    </x:cfRule>
  </x:conditionalFormatting>
  <x:conditionalFormatting sqref="C228:D228">
    <x:cfRule type="expression" dxfId="225" priority="222">
      <x:formula>$C228&lt;&gt;$D228</x:formula>
    </x:cfRule>
  </x:conditionalFormatting>
  <x:conditionalFormatting sqref="C229:D229">
    <x:cfRule type="expression" dxfId="226" priority="223">
      <x:formula>$C229&lt;&gt;$D229</x:formula>
    </x:cfRule>
  </x:conditionalFormatting>
  <x:conditionalFormatting sqref="C230:D230">
    <x:cfRule type="expression" dxfId="227" priority="224">
      <x:formula>$C230&lt;&gt;$D230</x:formula>
    </x:cfRule>
  </x:conditionalFormatting>
  <x:conditionalFormatting sqref="C231:D231">
    <x:cfRule type="expression" dxfId="228" priority="225">
      <x:formula>$C231&lt;&gt;$D231</x:formula>
    </x:cfRule>
  </x:conditionalFormatting>
  <x:conditionalFormatting sqref="C232:D232">
    <x:cfRule type="expression" dxfId="229" priority="226">
      <x:formula>$C232&lt;&gt;$D232</x:formula>
    </x:cfRule>
  </x:conditionalFormatting>
  <x:conditionalFormatting sqref="C233:D233">
    <x:cfRule type="expression" dxfId="230" priority="227">
      <x:formula>$C233&lt;&gt;$D233</x:formula>
    </x:cfRule>
  </x:conditionalFormatting>
  <x:conditionalFormatting sqref="C234:D234">
    <x:cfRule type="expression" dxfId="231" priority="228">
      <x:formula>$C234&lt;&gt;$D234</x:formula>
    </x:cfRule>
  </x:conditionalFormatting>
  <x:conditionalFormatting sqref="C235:D235">
    <x:cfRule type="expression" dxfId="232" priority="229">
      <x:formula>$C235&lt;&gt;$D235</x:formula>
    </x:cfRule>
  </x:conditionalFormatting>
  <x:conditionalFormatting sqref="C236:D236">
    <x:cfRule type="expression" dxfId="233" priority="230">
      <x:formula>$C236&lt;&gt;$D236</x:formula>
    </x:cfRule>
  </x:conditionalFormatting>
  <x:conditionalFormatting sqref="C237:D237">
    <x:cfRule type="expression" dxfId="234" priority="231">
      <x:formula>$C237&lt;&gt;$D237</x:formula>
    </x:cfRule>
  </x:conditionalFormatting>
  <x:conditionalFormatting sqref="C238:D238">
    <x:cfRule type="expression" dxfId="235" priority="232">
      <x:formula>$C238&lt;&gt;$D238</x:formula>
    </x:cfRule>
  </x:conditionalFormatting>
  <x:conditionalFormatting sqref="C239:D239">
    <x:cfRule type="expression" dxfId="236" priority="233">
      <x:formula>$C239&lt;&gt;$D239</x:formula>
    </x:cfRule>
  </x:conditionalFormatting>
  <x:conditionalFormatting sqref="C240:D240">
    <x:cfRule type="expression" dxfId="237" priority="234">
      <x:formula>$C240&lt;&gt;$D240</x:formula>
    </x:cfRule>
  </x:conditionalFormatting>
  <x:conditionalFormatting sqref="C241:D241">
    <x:cfRule type="expression" dxfId="238" priority="235">
      <x:formula>$C241&lt;&gt;$D241</x:formula>
    </x:cfRule>
  </x:conditionalFormatting>
  <x:conditionalFormatting sqref="C242:D242">
    <x:cfRule type="expression" dxfId="239" priority="236">
      <x:formula>$C242&lt;&gt;$D242</x:formula>
    </x:cfRule>
  </x:conditionalFormatting>
  <x:conditionalFormatting sqref="C243:D243">
    <x:cfRule type="expression" dxfId="240" priority="237">
      <x:formula>$C243&lt;&gt;$D243</x:formula>
    </x:cfRule>
  </x:conditionalFormatting>
  <x:conditionalFormatting sqref="C244:D244">
    <x:cfRule type="expression" dxfId="241" priority="238">
      <x:formula>$C244&lt;&gt;$D244</x:formula>
    </x:cfRule>
  </x:conditionalFormatting>
  <x:conditionalFormatting sqref="C245:D245">
    <x:cfRule type="expression" dxfId="242" priority="239">
      <x:formula>$C245&lt;&gt;$D245</x:formula>
    </x:cfRule>
  </x:conditionalFormatting>
  <x:conditionalFormatting sqref="C246:D246">
    <x:cfRule type="expression" dxfId="243" priority="240">
      <x:formula>$C246&lt;&gt;$D246</x:formula>
    </x:cfRule>
  </x:conditionalFormatting>
  <x:conditionalFormatting sqref="C247:D247">
    <x:cfRule type="expression" dxfId="244" priority="241">
      <x:formula>$C247&lt;&gt;$D247</x:formula>
    </x:cfRule>
  </x:conditionalFormatting>
  <x:conditionalFormatting sqref="C248:D248">
    <x:cfRule type="expression" dxfId="245" priority="242">
      <x:formula>$C248&lt;&gt;$D248</x:formula>
    </x:cfRule>
  </x:conditionalFormatting>
  <x:conditionalFormatting sqref="C249:D249">
    <x:cfRule type="expression" dxfId="246" priority="243">
      <x:formula>$C249&lt;&gt;$D249</x:formula>
    </x:cfRule>
  </x:conditionalFormatting>
  <x:conditionalFormatting sqref="C250:D250">
    <x:cfRule type="expression" dxfId="247" priority="244">
      <x:formula>$C250&lt;&gt;$D250</x:formula>
    </x:cfRule>
  </x:conditionalFormatting>
  <x:conditionalFormatting sqref="C251:D251">
    <x:cfRule type="expression" dxfId="248" priority="245">
      <x:formula>$C251&lt;&gt;$D251</x:formula>
    </x:cfRule>
  </x:conditionalFormatting>
  <x:conditionalFormatting sqref="C252:D252">
    <x:cfRule type="expression" dxfId="249" priority="246">
      <x:formula>$C252&lt;&gt;$D252</x:formula>
    </x:cfRule>
  </x:conditionalFormatting>
  <x:conditionalFormatting sqref="C253:D253">
    <x:cfRule type="expression" dxfId="250" priority="247">
      <x:formula>$C253&lt;&gt;$D253</x:formula>
    </x:cfRule>
  </x:conditionalFormatting>
  <x:conditionalFormatting sqref="C254:D254">
    <x:cfRule type="expression" dxfId="251" priority="248">
      <x:formula>$C254&lt;&gt;$D254</x:formula>
    </x:cfRule>
  </x:conditionalFormatting>
  <x:conditionalFormatting sqref="C255:D255">
    <x:cfRule type="expression" dxfId="252" priority="249">
      <x:formula>$C255&lt;&gt;$D255</x:formula>
    </x:cfRule>
  </x:conditionalFormatting>
  <x:conditionalFormatting sqref="C256:D256">
    <x:cfRule type="expression" dxfId="253" priority="250">
      <x:formula>$C256&lt;&gt;$D256</x:formula>
    </x:cfRule>
  </x:conditionalFormatting>
  <x:conditionalFormatting sqref="C257:D257">
    <x:cfRule type="expression" dxfId="254" priority="251">
      <x:formula>$C257&lt;&gt;$D257</x:formula>
    </x:cfRule>
  </x:conditionalFormatting>
  <x:conditionalFormatting sqref="C258:D258">
    <x:cfRule type="expression" dxfId="255" priority="252">
      <x:formula>$C258&lt;&gt;$D258</x:formula>
    </x:cfRule>
  </x:conditionalFormatting>
  <x:conditionalFormatting sqref="C259:D259">
    <x:cfRule type="expression" dxfId="256" priority="253">
      <x:formula>$C259&lt;&gt;$D259</x:formula>
    </x:cfRule>
  </x:conditionalFormatting>
  <x:conditionalFormatting sqref="C260:D260">
    <x:cfRule type="expression" dxfId="257" priority="254">
      <x:formula>$C260&lt;&gt;$D260</x:formula>
    </x:cfRule>
  </x:conditionalFormatting>
  <x:conditionalFormatting sqref="C261:D261">
    <x:cfRule type="expression" dxfId="258" priority="255">
      <x:formula>$C261&lt;&gt;$D261</x:formula>
    </x:cfRule>
  </x:conditionalFormatting>
  <x:conditionalFormatting sqref="C262:D262">
    <x:cfRule type="expression" dxfId="259" priority="256">
      <x:formula>$C262&lt;&gt;$D262</x:formula>
    </x:cfRule>
  </x:conditionalFormatting>
  <x:conditionalFormatting sqref="C263:D263">
    <x:cfRule type="expression" dxfId="260" priority="257">
      <x:formula>$C263&lt;&gt;$D263</x:formula>
    </x:cfRule>
  </x:conditionalFormatting>
  <x:conditionalFormatting sqref="C264:D264">
    <x:cfRule type="expression" dxfId="261" priority="258">
      <x:formula>$C264&lt;&gt;$D264</x:formula>
    </x:cfRule>
  </x:conditionalFormatting>
  <x:conditionalFormatting sqref="C265:D265">
    <x:cfRule type="expression" dxfId="262" priority="259">
      <x:formula>$C265&lt;&gt;$D265</x:formula>
    </x:cfRule>
  </x:conditionalFormatting>
  <x:conditionalFormatting sqref="C266:D266">
    <x:cfRule type="expression" dxfId="263" priority="260">
      <x:formula>$C266&lt;&gt;$D266</x:formula>
    </x:cfRule>
  </x:conditionalFormatting>
  <x:conditionalFormatting sqref="C267:D267">
    <x:cfRule type="expression" dxfId="264" priority="261">
      <x:formula>$C267&lt;&gt;$D267</x:formula>
    </x:cfRule>
  </x:conditionalFormatting>
  <x:conditionalFormatting sqref="C268:D268">
    <x:cfRule type="expression" dxfId="265" priority="262">
      <x:formula>$C268&lt;&gt;$D268</x:formula>
    </x:cfRule>
  </x:conditionalFormatting>
  <x:conditionalFormatting sqref="C269:D269">
    <x:cfRule type="expression" dxfId="266" priority="263">
      <x:formula>$C269&lt;&gt;$D269</x:formula>
    </x:cfRule>
  </x:conditionalFormatting>
  <x:conditionalFormatting sqref="C270:D270">
    <x:cfRule type="expression" dxfId="267" priority="264">
      <x:formula>$C270&lt;&gt;$D270</x:formula>
    </x:cfRule>
  </x:conditionalFormatting>
  <x:conditionalFormatting sqref="C271:D271">
    <x:cfRule type="expression" dxfId="268" priority="265">
      <x:formula>$C271&lt;&gt;$D271</x:formula>
    </x:cfRule>
  </x:conditionalFormatting>
  <x:conditionalFormatting sqref="C272:D272">
    <x:cfRule type="expression" dxfId="269" priority="266">
      <x:formula>$C272&lt;&gt;$D272</x:formula>
    </x:cfRule>
  </x:conditionalFormatting>
  <x:conditionalFormatting sqref="C273:D273">
    <x:cfRule type="expression" dxfId="270" priority="267">
      <x:formula>$C273&lt;&gt;$D273</x:formula>
    </x:cfRule>
  </x:conditionalFormatting>
  <x:conditionalFormatting sqref="C274:D274">
    <x:cfRule type="expression" dxfId="271" priority="268">
      <x:formula>$C274&lt;&gt;$D274</x:formula>
    </x:cfRule>
  </x:conditionalFormatting>
  <x:conditionalFormatting sqref="C275:D275">
    <x:cfRule type="expression" dxfId="272" priority="269">
      <x:formula>$C275&lt;&gt;$D275</x:formula>
    </x:cfRule>
  </x:conditionalFormatting>
  <x:conditionalFormatting sqref="C276:D276">
    <x:cfRule type="expression" dxfId="273" priority="270">
      <x:formula>$C276&lt;&gt;$D276</x:formula>
    </x:cfRule>
  </x:conditionalFormatting>
  <x:conditionalFormatting sqref="C277:D277">
    <x:cfRule type="expression" dxfId="274" priority="271">
      <x:formula>$C277&lt;&gt;$D277</x:formula>
    </x:cfRule>
  </x:conditionalFormatting>
  <x:conditionalFormatting sqref="C278:D278">
    <x:cfRule type="expression" dxfId="275" priority="272">
      <x:formula>$C278&lt;&gt;$D278</x:formula>
    </x:cfRule>
  </x:conditionalFormatting>
  <x:conditionalFormatting sqref="C279:D279">
    <x:cfRule type="expression" dxfId="276" priority="273">
      <x:formula>$C279&lt;&gt;$D279</x:formula>
    </x:cfRule>
  </x:conditionalFormatting>
  <x:conditionalFormatting sqref="C280:D280">
    <x:cfRule type="expression" dxfId="277" priority="274">
      <x:formula>$C280&lt;&gt;$D280</x:formula>
    </x:cfRule>
  </x:conditionalFormatting>
  <x:conditionalFormatting sqref="C281:D281">
    <x:cfRule type="expression" dxfId="278" priority="275">
      <x:formula>$C281&lt;&gt;$D281</x:formula>
    </x:cfRule>
  </x:conditionalFormatting>
  <x:conditionalFormatting sqref="C282:D282">
    <x:cfRule type="expression" dxfId="279" priority="276">
      <x:formula>$C282&lt;&gt;$D282</x:formula>
    </x:cfRule>
  </x:conditionalFormatting>
  <x:conditionalFormatting sqref="C283:D283">
    <x:cfRule type="expression" dxfId="280" priority="277">
      <x:formula>$C283&lt;&gt;$D283</x:formula>
    </x:cfRule>
  </x:conditionalFormatting>
  <x:conditionalFormatting sqref="C284:D284">
    <x:cfRule type="expression" dxfId="281" priority="278">
      <x:formula>$C284&lt;&gt;$D284</x:formula>
    </x:cfRule>
  </x:conditionalFormatting>
  <x:conditionalFormatting sqref="C285:D285">
    <x:cfRule type="expression" dxfId="282" priority="279">
      <x:formula>$C285&lt;&gt;$D285</x:formula>
    </x:cfRule>
  </x:conditionalFormatting>
  <x:conditionalFormatting sqref="C286:D286">
    <x:cfRule type="expression" dxfId="283" priority="280">
      <x:formula>$C286&lt;&gt;$D286</x:formula>
    </x:cfRule>
  </x:conditionalFormatting>
  <x:conditionalFormatting sqref="C287:D287">
    <x:cfRule type="expression" dxfId="284" priority="281">
      <x:formula>$C287&lt;&gt;$D287</x:formula>
    </x:cfRule>
  </x:conditionalFormatting>
  <x:conditionalFormatting sqref="C288:D288">
    <x:cfRule type="expression" dxfId="285" priority="282">
      <x:formula>$C288&lt;&gt;$D288</x:formula>
    </x:cfRule>
  </x:conditionalFormatting>
  <x:conditionalFormatting sqref="C289:D289">
    <x:cfRule type="expression" dxfId="286" priority="283">
      <x:formula>$C289&lt;&gt;$D289</x:formula>
    </x:cfRule>
  </x:conditionalFormatting>
  <x:conditionalFormatting sqref="C290:D290">
    <x:cfRule type="expression" dxfId="287" priority="284">
      <x:formula>$C290&lt;&gt;$D290</x:formula>
    </x:cfRule>
  </x:conditionalFormatting>
  <x:conditionalFormatting sqref="C291:D291">
    <x:cfRule type="expression" dxfId="288" priority="285">
      <x:formula>$C291&lt;&gt;$D291</x:formula>
    </x:cfRule>
  </x:conditionalFormatting>
  <x:conditionalFormatting sqref="C292:D292">
    <x:cfRule type="expression" dxfId="289" priority="286">
      <x:formula>$C292&lt;&gt;$D292</x:formula>
    </x:cfRule>
  </x:conditionalFormatting>
  <x:conditionalFormatting sqref="C293:D293">
    <x:cfRule type="expression" dxfId="290" priority="287">
      <x:formula>$C293&lt;&gt;$D293</x:formula>
    </x:cfRule>
  </x:conditionalFormatting>
  <x:conditionalFormatting sqref="C294:D294">
    <x:cfRule type="expression" dxfId="291" priority="288">
      <x:formula>$C294&lt;&gt;$D294</x:formula>
    </x:cfRule>
  </x:conditionalFormatting>
  <x:conditionalFormatting sqref="C295:D295">
    <x:cfRule type="expression" dxfId="292" priority="289">
      <x:formula>$C295&lt;&gt;$D295</x:formula>
    </x:cfRule>
  </x:conditionalFormatting>
  <x:conditionalFormatting sqref="C296:D296">
    <x:cfRule type="expression" dxfId="293" priority="290">
      <x:formula>$C296&lt;&gt;$D296</x:formula>
    </x:cfRule>
  </x:conditionalFormatting>
  <x:conditionalFormatting sqref="C297:D297">
    <x:cfRule type="expression" dxfId="294" priority="291">
      <x:formula>$C297&lt;&gt;$D297</x:formula>
    </x:cfRule>
  </x:conditionalFormatting>
  <x:conditionalFormatting sqref="C298:D298">
    <x:cfRule type="expression" dxfId="295" priority="292">
      <x:formula>$C298&lt;&gt;$D298</x:formula>
    </x:cfRule>
  </x:conditionalFormatting>
  <x:conditionalFormatting sqref="C299:D299">
    <x:cfRule type="expression" dxfId="296" priority="293">
      <x:formula>$C299&lt;&gt;$D299</x:formula>
    </x:cfRule>
  </x:conditionalFormatting>
  <x:conditionalFormatting sqref="C300:D300">
    <x:cfRule type="expression" dxfId="297" priority="294">
      <x:formula>$C300&lt;&gt;$D300</x:formula>
    </x:cfRule>
  </x:conditionalFormatting>
  <x:conditionalFormatting sqref="C301:D301">
    <x:cfRule type="expression" dxfId="298" priority="295">
      <x:formula>$C301&lt;&gt;$D301</x:formula>
    </x:cfRule>
  </x:conditionalFormatting>
  <x:conditionalFormatting sqref="C302:D302">
    <x:cfRule type="expression" dxfId="299" priority="296">
      <x:formula>$C302&lt;&gt;$D302</x:formula>
    </x:cfRule>
  </x:conditionalFormatting>
  <x:conditionalFormatting sqref="C303:D303">
    <x:cfRule type="expression" dxfId="300" priority="297">
      <x:formula>$C303&lt;&gt;$D303</x:formula>
    </x:cfRule>
  </x:conditionalFormatting>
  <x:conditionalFormatting sqref="C304:D304">
    <x:cfRule type="expression" dxfId="301" priority="298">
      <x:formula>$C304&lt;&gt;$D304</x:formula>
    </x:cfRule>
  </x:conditionalFormatting>
  <x:conditionalFormatting sqref="C305:D305">
    <x:cfRule type="expression" dxfId="302" priority="299">
      <x:formula>$C305&lt;&gt;$D305</x:formula>
    </x:cfRule>
  </x:conditionalFormatting>
  <x:conditionalFormatting sqref="C306:D306">
    <x:cfRule type="expression" dxfId="303" priority="300">
      <x:formula>$C306&lt;&gt;$D306</x:formula>
    </x:cfRule>
  </x:conditionalFormatting>
  <x:conditionalFormatting sqref="C307:D307">
    <x:cfRule type="expression" dxfId="304" priority="301">
      <x:formula>$C307&lt;&gt;$D307</x:formula>
    </x:cfRule>
  </x:conditionalFormatting>
  <x:conditionalFormatting sqref="C308:D308">
    <x:cfRule type="expression" dxfId="305" priority="302">
      <x:formula>$C308&lt;&gt;$D308</x:formula>
    </x:cfRule>
  </x:conditionalFormatting>
  <x:conditionalFormatting sqref="C309:D309">
    <x:cfRule type="expression" dxfId="306" priority="303">
      <x:formula>$C309&lt;&gt;$D309</x:formula>
    </x:cfRule>
  </x:conditionalFormatting>
  <x:conditionalFormatting sqref="C310:D310">
    <x:cfRule type="expression" dxfId="307" priority="304">
      <x:formula>$C310&lt;&gt;$D310</x:formula>
    </x:cfRule>
  </x:conditionalFormatting>
  <x:conditionalFormatting sqref="C311:D311">
    <x:cfRule type="expression" dxfId="308" priority="305">
      <x:formula>$C311&lt;&gt;$D311</x:formula>
    </x:cfRule>
  </x:conditionalFormatting>
  <x:conditionalFormatting sqref="C312:D312">
    <x:cfRule type="expression" dxfId="309" priority="306">
      <x:formula>$C312&lt;&gt;$D312</x:formula>
    </x:cfRule>
  </x:conditionalFormatting>
  <x:conditionalFormatting sqref="C313:D313">
    <x:cfRule type="expression" dxfId="310" priority="307">
      <x:formula>$C313&lt;&gt;$D313</x:formula>
    </x:cfRule>
  </x:conditionalFormatting>
  <x:conditionalFormatting sqref="C314:D314">
    <x:cfRule type="expression" dxfId="311" priority="308">
      <x:formula>$C314&lt;&gt;$D314</x:formula>
    </x:cfRule>
  </x:conditionalFormatting>
  <x:conditionalFormatting sqref="C315:D315">
    <x:cfRule type="expression" dxfId="312" priority="309">
      <x:formula>$C315&lt;&gt;$D315</x:formula>
    </x:cfRule>
  </x:conditionalFormatting>
  <x:conditionalFormatting sqref="C316:D316">
    <x:cfRule type="expression" dxfId="313" priority="310">
      <x:formula>$C316&lt;&gt;$D316</x:formula>
    </x:cfRule>
  </x:conditionalFormatting>
  <x:conditionalFormatting sqref="C317:D317">
    <x:cfRule type="expression" dxfId="314" priority="311">
      <x:formula>$C317&lt;&gt;$D317</x:formula>
    </x:cfRule>
  </x:conditionalFormatting>
  <x:conditionalFormatting sqref="C318:D318">
    <x:cfRule type="expression" dxfId="315" priority="312">
      <x:formula>$C318&lt;&gt;$D318</x:formula>
    </x:cfRule>
  </x:conditionalFormatting>
  <x:conditionalFormatting sqref="C319:D319">
    <x:cfRule type="expression" dxfId="316" priority="313">
      <x:formula>$C319&lt;&gt;$D319</x:formula>
    </x:cfRule>
  </x:conditionalFormatting>
  <x:conditionalFormatting sqref="C320:D320">
    <x:cfRule type="expression" dxfId="317" priority="314">
      <x:formula>$C320&lt;&gt;$D320</x:formula>
    </x:cfRule>
  </x:conditionalFormatting>
  <x:conditionalFormatting sqref="C321:D321">
    <x:cfRule type="expression" dxfId="318" priority="315">
      <x:formula>$C321&lt;&gt;$D321</x:formula>
    </x:cfRule>
  </x:conditionalFormatting>
  <x:conditionalFormatting sqref="C322:D322">
    <x:cfRule type="expression" dxfId="319" priority="316">
      <x:formula>$C322&lt;&gt;$D322</x:formula>
    </x:cfRule>
  </x:conditionalFormatting>
  <x:conditionalFormatting sqref="C323:D323">
    <x:cfRule type="expression" dxfId="320" priority="317">
      <x:formula>$C323&lt;&gt;$D323</x:formula>
    </x:cfRule>
  </x:conditionalFormatting>
  <x:conditionalFormatting sqref="C324:D324">
    <x:cfRule type="expression" dxfId="321" priority="318">
      <x:formula>$C324&lt;&gt;$D324</x:formula>
    </x:cfRule>
  </x:conditionalFormatting>
  <x:conditionalFormatting sqref="C325:D325">
    <x:cfRule type="expression" dxfId="322" priority="319">
      <x:formula>$C325&lt;&gt;$D325</x:formula>
    </x:cfRule>
  </x:conditionalFormatting>
  <x:conditionalFormatting sqref="C326:D326">
    <x:cfRule type="expression" dxfId="323" priority="320">
      <x:formula>$C326&lt;&gt;$D326</x:formula>
    </x:cfRule>
  </x:conditionalFormatting>
  <x:conditionalFormatting sqref="C327:D327">
    <x:cfRule type="expression" dxfId="324" priority="321">
      <x:formula>$C327&lt;&gt;$D327</x:formula>
    </x:cfRule>
  </x:conditionalFormatting>
  <x:conditionalFormatting sqref="C328:D328">
    <x:cfRule type="expression" dxfId="325" priority="322">
      <x:formula>$C328&lt;&gt;$D328</x:formula>
    </x:cfRule>
  </x:conditionalFormatting>
  <x:conditionalFormatting sqref="C329:D329">
    <x:cfRule type="expression" dxfId="326" priority="323">
      <x:formula>$C329&lt;&gt;$D329</x:formula>
    </x:cfRule>
  </x:conditionalFormatting>
  <x:conditionalFormatting sqref="C330:D330">
    <x:cfRule type="expression" dxfId="327" priority="324">
      <x:formula>$C330&lt;&gt;$D330</x:formula>
    </x:cfRule>
  </x:conditionalFormatting>
  <x:conditionalFormatting sqref="C331:D331">
    <x:cfRule type="expression" dxfId="328" priority="325">
      <x:formula>$C331&lt;&gt;$D331</x:formula>
    </x:cfRule>
  </x:conditionalFormatting>
  <x:conditionalFormatting sqref="C332:D332">
    <x:cfRule type="expression" dxfId="329" priority="326">
      <x:formula>$C332&lt;&gt;$D332</x:formula>
    </x:cfRule>
  </x:conditionalFormatting>
  <x:conditionalFormatting sqref="C333:D333">
    <x:cfRule type="expression" dxfId="330" priority="327">
      <x:formula>$C333&lt;&gt;$D333</x:formula>
    </x:cfRule>
  </x:conditionalFormatting>
  <x:conditionalFormatting sqref="C334:D334">
    <x:cfRule type="expression" dxfId="331" priority="328">
      <x:formula>$C334&lt;&gt;$D334</x:formula>
    </x:cfRule>
  </x:conditionalFormatting>
  <x:conditionalFormatting sqref="C335:D335">
    <x:cfRule type="expression" dxfId="332" priority="329">
      <x:formula>$C335&lt;&gt;$D335</x:formula>
    </x:cfRule>
  </x:conditionalFormatting>
  <x:conditionalFormatting sqref="C336:D336">
    <x:cfRule type="expression" dxfId="333" priority="330">
      <x:formula>$C336&lt;&gt;$D336</x:formula>
    </x:cfRule>
  </x:conditionalFormatting>
  <x:conditionalFormatting sqref="C337:D337">
    <x:cfRule type="expression" dxfId="334" priority="331">
      <x:formula>$C337&lt;&gt;$D337</x:formula>
    </x:cfRule>
  </x:conditionalFormatting>
  <x:conditionalFormatting sqref="C338:D338">
    <x:cfRule type="expression" dxfId="335" priority="332">
      <x:formula>$C338&lt;&gt;$D338</x:formula>
    </x:cfRule>
  </x:conditionalFormatting>
  <x:conditionalFormatting sqref="C339:D339">
    <x:cfRule type="expression" dxfId="336" priority="333">
      <x:formula>$C339&lt;&gt;$D339</x:formula>
    </x:cfRule>
  </x:conditionalFormatting>
  <x:conditionalFormatting sqref="C340:D340">
    <x:cfRule type="expression" dxfId="337" priority="334">
      <x:formula>$C340&lt;&gt;$D340</x:formula>
    </x:cfRule>
  </x:conditionalFormatting>
  <x:conditionalFormatting sqref="C341:D341">
    <x:cfRule type="expression" dxfId="338" priority="335">
      <x:formula>$C341&lt;&gt;$D341</x:formula>
    </x:cfRule>
  </x:conditionalFormatting>
  <x:conditionalFormatting sqref="C342:D342">
    <x:cfRule type="expression" dxfId="339" priority="336">
      <x:formula>$C342&lt;&gt;$D342</x:formula>
    </x:cfRule>
  </x:conditionalFormatting>
  <x:conditionalFormatting sqref="C343:D343">
    <x:cfRule type="expression" dxfId="340" priority="337">
      <x:formula>$C343&lt;&gt;$D343</x:formula>
    </x:cfRule>
  </x:conditionalFormatting>
  <x:conditionalFormatting sqref="C344:D344">
    <x:cfRule type="expression" dxfId="341" priority="338">
      <x:formula>$C344&lt;&gt;$D344</x:formula>
    </x:cfRule>
  </x:conditionalFormatting>
  <x:conditionalFormatting sqref="C345:D345">
    <x:cfRule type="expression" dxfId="342" priority="339">
      <x:formula>$C345&lt;&gt;$D345</x:formula>
    </x:cfRule>
  </x:conditionalFormatting>
  <x:conditionalFormatting sqref="C346:D346">
    <x:cfRule type="expression" dxfId="343" priority="340">
      <x:formula>$C346&lt;&gt;$D346</x:formula>
    </x:cfRule>
  </x:conditionalFormatting>
  <x:conditionalFormatting sqref="C347:D347">
    <x:cfRule type="expression" dxfId="344" priority="341">
      <x:formula>$C347&lt;&gt;$D347</x:formula>
    </x:cfRule>
  </x:conditionalFormatting>
  <x:conditionalFormatting sqref="C348:D348">
    <x:cfRule type="expression" dxfId="345" priority="342">
      <x:formula>$C348&lt;&gt;$D348</x:formula>
    </x:cfRule>
  </x:conditionalFormatting>
  <x:conditionalFormatting sqref="C349:D349">
    <x:cfRule type="expression" dxfId="346" priority="343">
      <x:formula>$C349&lt;&gt;$D349</x:formula>
    </x:cfRule>
  </x:conditionalFormatting>
  <x:conditionalFormatting sqref="C350:D350">
    <x:cfRule type="expression" dxfId="347" priority="344">
      <x:formula>$C350&lt;&gt;$D350</x:formula>
    </x:cfRule>
  </x:conditionalFormatting>
  <x:conditionalFormatting sqref="C351:D351">
    <x:cfRule type="expression" dxfId="348" priority="345">
      <x:formula>$C351&lt;&gt;$D351</x:formula>
    </x:cfRule>
  </x:conditionalFormatting>
  <x:conditionalFormatting sqref="C352:D352">
    <x:cfRule type="expression" dxfId="349" priority="346">
      <x:formula>$C352&lt;&gt;$D352</x:formula>
    </x:cfRule>
  </x:conditionalFormatting>
  <x:conditionalFormatting sqref="C353:D353">
    <x:cfRule type="expression" dxfId="350" priority="347">
      <x:formula>$C353&lt;&gt;$D353</x:formula>
    </x:cfRule>
  </x:conditionalFormatting>
  <x:conditionalFormatting sqref="C354:D354">
    <x:cfRule type="expression" dxfId="351" priority="348">
      <x:formula>$C354&lt;&gt;$D354</x:formula>
    </x:cfRule>
  </x:conditionalFormatting>
  <x:conditionalFormatting sqref="C355:D355">
    <x:cfRule type="expression" dxfId="352" priority="349">
      <x:formula>$C355&lt;&gt;$D355</x:formula>
    </x:cfRule>
  </x:conditionalFormatting>
  <x:conditionalFormatting sqref="C356:D356">
    <x:cfRule type="expression" dxfId="353" priority="350">
      <x:formula>$C356&lt;&gt;$D356</x:formula>
    </x:cfRule>
  </x:conditionalFormatting>
  <x:conditionalFormatting sqref="C357:D357">
    <x:cfRule type="expression" dxfId="354" priority="351">
      <x:formula>$C357&lt;&gt;$D357</x:formula>
    </x:cfRule>
  </x:conditionalFormatting>
  <x:conditionalFormatting sqref="C358:D358">
    <x:cfRule type="expression" dxfId="355" priority="352">
      <x:formula>$C358&lt;&gt;$D358</x:formula>
    </x:cfRule>
  </x:conditionalFormatting>
  <x:conditionalFormatting sqref="C359:D359">
    <x:cfRule type="expression" dxfId="356" priority="353">
      <x:formula>$C359&lt;&gt;$D359</x:formula>
    </x:cfRule>
  </x:conditionalFormatting>
  <x:conditionalFormatting sqref="C360:D360">
    <x:cfRule type="expression" dxfId="357" priority="354">
      <x:formula>$C360&lt;&gt;$D360</x:formula>
    </x:cfRule>
  </x:conditionalFormatting>
  <x:conditionalFormatting sqref="C361:D361">
    <x:cfRule type="expression" dxfId="358" priority="355">
      <x:formula>$C361&lt;&gt;$D361</x:formula>
    </x:cfRule>
  </x:conditionalFormatting>
  <x:conditionalFormatting sqref="C362:D362">
    <x:cfRule type="expression" dxfId="359" priority="356">
      <x:formula>$C362&lt;&gt;$D362</x:formula>
    </x:cfRule>
  </x:conditionalFormatting>
  <x:conditionalFormatting sqref="C363:D363">
    <x:cfRule type="expression" dxfId="360" priority="357">
      <x:formula>$C363&lt;&gt;$D363</x:formula>
    </x:cfRule>
  </x:conditionalFormatting>
  <x:conditionalFormatting sqref="C364:D364">
    <x:cfRule type="expression" dxfId="361" priority="358">
      <x:formula>$C364&lt;&gt;$D364</x:formula>
    </x:cfRule>
  </x:conditionalFormatting>
  <x:conditionalFormatting sqref="C365:D365">
    <x:cfRule type="expression" dxfId="362" priority="359">
      <x:formula>$C365&lt;&gt;$D365</x:formula>
    </x:cfRule>
  </x:conditionalFormatting>
  <x:conditionalFormatting sqref="C366:D366">
    <x:cfRule type="expression" dxfId="363" priority="360">
      <x:formula>$C366&lt;&gt;$D366</x:formula>
    </x:cfRule>
  </x:conditionalFormatting>
  <x:conditionalFormatting sqref="C367:D367">
    <x:cfRule type="expression" dxfId="364" priority="361">
      <x:formula>$C367&lt;&gt;$D367</x:formula>
    </x:cfRule>
  </x:conditionalFormatting>
  <x:conditionalFormatting sqref="C368:D368">
    <x:cfRule type="expression" dxfId="365" priority="362">
      <x:formula>$C368&lt;&gt;$D368</x:formula>
    </x:cfRule>
  </x:conditionalFormatting>
  <x:conditionalFormatting sqref="C369:D369">
    <x:cfRule type="expression" dxfId="366" priority="363">
      <x:formula>$C369&lt;&gt;$D369</x:formula>
    </x:cfRule>
  </x:conditionalFormatting>
  <x:conditionalFormatting sqref="C370:D370">
    <x:cfRule type="expression" dxfId="367" priority="364">
      <x:formula>$C370&lt;&gt;$D370</x:formula>
    </x:cfRule>
  </x:conditionalFormatting>
  <x:conditionalFormatting sqref="C371:D371">
    <x:cfRule type="expression" dxfId="368" priority="365">
      <x:formula>$C371&lt;&gt;$D371</x:formula>
    </x:cfRule>
  </x:conditionalFormatting>
  <x:conditionalFormatting sqref="C372:D372">
    <x:cfRule type="expression" dxfId="369" priority="366">
      <x:formula>$C372&lt;&gt;$D372</x:formula>
    </x:cfRule>
  </x:conditionalFormatting>
  <x:conditionalFormatting sqref="C373:D373">
    <x:cfRule type="expression" dxfId="370" priority="367">
      <x:formula>$C373&lt;&gt;$D373</x:formula>
    </x:cfRule>
  </x:conditionalFormatting>
  <x:conditionalFormatting sqref="C374:D374">
    <x:cfRule type="expression" dxfId="371" priority="368">
      <x:formula>$C374&lt;&gt;$D374</x:formula>
    </x:cfRule>
  </x:conditionalFormatting>
  <x:conditionalFormatting sqref="C375:D375">
    <x:cfRule type="expression" dxfId="372" priority="369">
      <x:formula>$C375&lt;&gt;$D375</x:formula>
    </x:cfRule>
  </x:conditionalFormatting>
  <x:conditionalFormatting sqref="C376:D376">
    <x:cfRule type="expression" dxfId="373" priority="370">
      <x:formula>$C376&lt;&gt;$D376</x:formula>
    </x:cfRule>
  </x:conditionalFormatting>
  <x:conditionalFormatting sqref="C377:D377">
    <x:cfRule type="expression" dxfId="374" priority="371">
      <x:formula>$C377&lt;&gt;$D377</x:formula>
    </x:cfRule>
  </x:conditionalFormatting>
  <x:conditionalFormatting sqref="C378:D378">
    <x:cfRule type="expression" dxfId="375" priority="372">
      <x:formula>$C378&lt;&gt;$D378</x:formula>
    </x:cfRule>
  </x:conditionalFormatting>
  <x:conditionalFormatting sqref="C379:D379">
    <x:cfRule type="expression" dxfId="376" priority="373">
      <x:formula>$C379&lt;&gt;$D379</x:formula>
    </x:cfRule>
  </x:conditionalFormatting>
  <x:conditionalFormatting sqref="C380:D380">
    <x:cfRule type="expression" dxfId="377" priority="374">
      <x:formula>$C380&lt;&gt;$D380</x:formula>
    </x:cfRule>
  </x:conditionalFormatting>
  <x:conditionalFormatting sqref="C381:D381">
    <x:cfRule type="expression" dxfId="378" priority="375">
      <x:formula>$C381&lt;&gt;$D381</x:formula>
    </x:cfRule>
  </x:conditionalFormatting>
  <x:conditionalFormatting sqref="C382:D382">
    <x:cfRule type="expression" dxfId="379" priority="376">
      <x:formula>$C382&lt;&gt;$D382</x:formula>
    </x:cfRule>
  </x:conditionalFormatting>
  <x:conditionalFormatting sqref="C383:D383">
    <x:cfRule type="expression" dxfId="380" priority="377">
      <x:formula>$C383&lt;&gt;$D383</x:formula>
    </x:cfRule>
  </x:conditionalFormatting>
  <x:conditionalFormatting sqref="C384:D384">
    <x:cfRule type="expression" dxfId="381" priority="378">
      <x:formula>$C384&lt;&gt;$D384</x:formula>
    </x:cfRule>
  </x:conditionalFormatting>
  <x:conditionalFormatting sqref="C385:D385">
    <x:cfRule type="expression" dxfId="382" priority="379">
      <x:formula>$C385&lt;&gt;$D385</x:formula>
    </x:cfRule>
  </x:conditionalFormatting>
  <x:conditionalFormatting sqref="C386:D386">
    <x:cfRule type="expression" dxfId="383" priority="380">
      <x:formula>$C386&lt;&gt;$D386</x:formula>
    </x:cfRule>
  </x:conditionalFormatting>
  <x:conditionalFormatting sqref="C387:D387">
    <x:cfRule type="expression" dxfId="384" priority="381">
      <x:formula>$C387&lt;&gt;$D387</x:formula>
    </x:cfRule>
  </x:conditionalFormatting>
  <x:conditionalFormatting sqref="C388:D388">
    <x:cfRule type="expression" dxfId="385" priority="382">
      <x:formula>$C388&lt;&gt;$D388</x:formula>
    </x:cfRule>
  </x:conditionalFormatting>
  <x:conditionalFormatting sqref="C389:D389">
    <x:cfRule type="expression" dxfId="386" priority="383">
      <x:formula>$C389&lt;&gt;$D389</x:formula>
    </x:cfRule>
  </x:conditionalFormatting>
  <x:conditionalFormatting sqref="C390:D390">
    <x:cfRule type="expression" dxfId="387" priority="384">
      <x:formula>$C390&lt;&gt;$D390</x:formula>
    </x:cfRule>
  </x:conditionalFormatting>
  <x:conditionalFormatting sqref="C391:D391">
    <x:cfRule type="expression" dxfId="388" priority="385">
      <x:formula>$C391&lt;&gt;$D391</x:formula>
    </x:cfRule>
  </x:conditionalFormatting>
  <x:conditionalFormatting sqref="C392:D392">
    <x:cfRule type="expression" dxfId="389" priority="386">
      <x:formula>$C392&lt;&gt;$D392</x:formula>
    </x:cfRule>
  </x:conditionalFormatting>
  <x:conditionalFormatting sqref="C393:D393">
    <x:cfRule type="expression" dxfId="390" priority="387">
      <x:formula>$C393&lt;&gt;$D393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da59fb03d14c35"/>
  </x:tableParts>
</x:worksheet>
</file>

<file path=xl/worksheets/sheet8.xml><?xml version="1.0" encoding="utf-8"?>
<x:worksheet xmlns:x="http://schemas.openxmlformats.org/spreadsheetml/2006/main">
  <x:sheetPr>
    <x:tabColor rgb="FFBBC8D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96" hidden="0" customWidth="1"/>
    <x:col min="3" max="3" width="70" hidden="0" customWidth="1"/>
  </x:cols>
  <x:sheetData>
    <x:row r="1">
      <x:c r="A1" s="1"/>
      <x:c r="B1" s="1"/>
      <x:c r="C1" s="1"/>
    </x:row>
    <x:row r="2">
      <x:c r="A2" s="2" t="str">
        <x:v>Источник и воспроизведение</x:v>
      </x:c>
      <x:c r="B2" s="1"/>
      <x:c r="C2" s="1"/>
    </x:row>
    <x:row r="3">
      <x:c r="A3" s="3"/>
      <x:c r="B3" s="3"/>
      <x:c r="C3" s="3"/>
    </x:row>
    <x:row r="4">
      <x:c r="A4" s="1"/>
      <x:c r="B4" s="1"/>
      <x:c r="C4" s="1"/>
    </x:row>
    <x:row r="5" ht="40" customHeight="1">
      <x:c r="A5" s="9" t="str">
        <x:v>Запись</x:v>
      </x:c>
      <x:c r="B5" s="9" t="str">
        <x:v>Значение</x:v>
      </x:c>
      <x:c r="C5" s="9" t="str">
        <x:v>Fingerprint / примечание</x:v>
      </x:c>
    </x:row>
    <x:row r="6" ht="33" customHeight="1">
      <x:c r="A6" s="6" t="str">
        <x:v>Режим</x:v>
      </x:c>
      <x:c r="B6" s="6" t="str">
        <x:v>GameBalanceAsset.CreateWorkshopBalance()</x:v>
      </x:c>
      <x:c r="C6" s="6" t="str"/>
    </x:row>
    <x:row r="7" ht="33" customHeight="1">
      <x:c r="A7" s="6" t="str">
        <x:v>Экспорт UTC</x:v>
      </x:c>
      <x:c r="B7" s="28" t="d">
        <x:v>2026-10-12T15:13:54.423Z</x:v>
      </x:c>
      <x:c r="C7" s="6" t="str"/>
    </x:row>
    <x:row r="8" ht="33" customHeight="1">
      <x:c r="A8" s="6" t="str">
        <x:v>Версия Unity</x:v>
      </x:c>
      <x:c r="B8" s="6" t="str">
        <x:v>6000.5.7f1</x:v>
      </x:c>
      <x:c r="C8" s="6" t="str"/>
    </x:row>
    <x:row r="9" ht="33" customHeight="1">
      <x:c r="A9" s="6" t="str">
        <x:v>SHA256 JSON</x:v>
      </x:c>
      <x:c r="B9" s="6" t="str">
        <x:v>cc342ab73d1737828ba44df781b6e7c5cfaea9c6c972bdbac0d2966ffc141334</x:v>
      </x:c>
      <x:c r="C9" s="6" t="str"/>
    </x:row>
    <x:row r="10" ht="33" customHeight="1">
      <x:c r="A10" s="6" t="str">
        <x:v>Данные</x:v>
      </x:c>
      <x:c r="B10" s="6" t="str">
        <x:v>docs/balance/balance-data.json</x:v>
      </x:c>
      <x:c r="C10" s="6" t="str"/>
    </x:row>
    <x:row r="11" ht="33" customHeight="1">
      <x:c r="A11" s="6" t="str">
        <x:v>Notebook</x:v>
      </x:c>
      <x:c r="B11" s="6" t="str">
        <x:v>Assets/PaperDefense/Configuration/NotebookBalance.asset</x:v>
      </x:c>
      <x:c r="C11" s="6" t="str">
        <x:v>b183ce0537c2875a33180ec6e2bd056c921741054f895c90397b66e7392de8ed</x:v>
      </x:c>
    </x:row>
    <x:row r="12" ht="33" customHeight="1">
      <x:c r="A12" s="6" t="str">
        <x:v>Target</x:v>
      </x:c>
      <x:c r="B12" s="6" t="str">
        <x:v>Assets/PaperDefense/Configuration/TargetNotebookBalance.asset</x:v>
      </x:c>
      <x:c r="C12" s="6" t="str">
        <x:v>db0cee804e1aceb731263272e0c2f2118fc6eb1cce36d42cf8edac2b7f94d2c1</x:v>
      </x:c>
    </x:row>
    <x:row r="13" ht="33" customHeight="1">
      <x:c r="A13" s="6" t="str">
        <x:v>Обновление</x:v>
      </x:c>
      <x:c r="B13" s="6" t="str">
        <x:v>Unity: Paper Defense &gt; Export mechanics and balance JSON. Затем Tools/BalanceWorkbook/Build.ps1.</x:v>
      </x:c>
      <x:c r="C13" s="6" t="str"/>
    </x:row>
    <x:row r="14" ht="33" customHeight="1">
      <x:c r="A14" s="6" t="str">
        <x:v>Формулы</x:v>
      </x:c>
      <x:c r="B14" s="6" t="str">
        <x:v>Сверка цены, HP и урона с runtime эталонами. Excel использует double, Core — float.</x:v>
      </x:c>
      <x:c r="C14" s="6" t="str"/>
    </x:row>
    <x:row r="15" ht="33" customHeight="1">
      <x:c r="A15" s="6" t="str">
        <x:v>Смысл DPS</x:v>
      </x:c>
      <x:c r="B15" s="6" t="str">
        <x:v>Теоретический темп по одной цели. Массовые попадания, защита, промахи и захват исключены.</x:v>
      </x:c>
      <x:c r="C15" s="6" t="str"/>
    </x:row>
    <x:row r="16" ht="33" customHeight="1">
      <x:c r="A16" s="6" t="str">
        <x:v>Округление</x:v>
      </x:c>
      <x:c r="B16" s="6" t="str">
        <x:v>Цена сборки: long × double. Цена отдельного инструмента сохраняет int × float.</x:v>
      </x:c>
      <x:c r="C16" s="6" t="str"/>
    </x:row>
    <x:row r="17" ht="33" customHeight="1">
      <x:c r="A17" s="6" t="str">
        <x:v>Сохранения</x:v>
      </x:c>
      <x:c r="B17" s="6" t="str">
        <x:v>Developer configuration действует на новый запуск. Каталог и устойчивые ID остаются полными.</x:v>
      </x:c>
      <x:c r="C17" s="6" t="str"/>
    </x:row>
    <x:row r="18" ht="33" customHeight="1">
      <x:c r="A18" s="6" t="str">
        <x:v>Отчет рефакторинга</x:v>
      </x:c>
      <x:c r="B18" s="6" t="str">
        <x:v>docs/validation/verification-mechanics-boundaries-2026-10-12.md</x:v>
      </x:c>
      <x:c r="C18" s="6" t="str">
        <x:v>Итоги тестов и проверки книги</x:v>
      </x:c>
    </x:row>
    <x:row r="19" ht="33" customHeight="1">
      <x:c r="A19" s="6" t="str">
        <x:v>Проверка рефакторинга</x:v>
      </x:c>
      <x:c r="B19" s="6" t="str">
        <x:v>docs/validation/mechanics-editmode-results.json</x:v>
      </x:c>
      <x:c r="C19" s="6" t="str">
        <x:v>0e83cbea6c1e389e5a43567e0788dd5061aa41b2feec3f12f26f0d6ed8fdc9c9</x:v>
      </x:c>
    </x:row>
    <x:row r="20" ht="33" customHeight="1">
      <x:c r="A20" s="6" t="str">
        <x:v>Проверка рефакторинга</x:v>
      </x:c>
      <x:c r="B20" s="6" t="str">
        <x:v>docs/validation/mechanics-playmode-results.json</x:v>
      </x:c>
      <x:c r="C20" s="6" t="str">
        <x:v>5958a8e6b98dd31e64255653497d70ffd1b1816b34c2125cf8a8cf6f4ccd419d</x:v>
      </x:c>
    </x:row>
    <x:row r="24" ht="40" customHeight="1">
      <x:c r="A24" s="9" t="str">
        <x:v>Источник</x:v>
      </x:c>
      <x:c r="B24" s="9" t="str">
        <x:v>SHA256</x:v>
      </x:c>
    </x:row>
    <x:row r="25" ht="42" customHeight="1">
      <x:c r="A25" s="6" t="str">
        <x:v>Assets/PaperDefense/Application/GameBalanceAsset.cs</x:v>
      </x:c>
      <x:c r="B25" s="6" t="str">
        <x:v>39e137be6807f668a207efe4c377e21f07090a0a55c6001433ebf9fec9c5ce77</x:v>
      </x:c>
    </x:row>
    <x:row r="26" ht="42" customHeight="1">
      <x:c r="A26" s="6" t="str">
        <x:v>Assets/PaperDefense/Configuration/NotebookBalance.asset</x:v>
      </x:c>
      <x:c r="B26" s="6" t="str">
        <x:v>713387fca68d3e73ca3be61dfc803849f8462e8bbad1fa71ae9f8c358797d97c</x:v>
      </x:c>
    </x:row>
    <x:row r="27" ht="42" customHeight="1">
      <x:c r="A27" s="6" t="str">
        <x:v>Assets/PaperDefense/Configuration/TargetNotebookBalance.asset</x:v>
      </x:c>
      <x:c r="B27" s="6" t="str">
        <x:v>4bb996c01e3873ecfa15bd74a0a8c562b33cfea2e08a91e28f44d7ae0aaa6737</x:v>
      </x:c>
    </x:row>
    <x:row r="28" ht="42" customHeight="1">
      <x:c r="A28" s="6" t="str">
        <x:v>Assets/PaperDefense/Core/AssemblyInfo.cs</x:v>
      </x:c>
      <x:c r="B28" s="6" t="str">
        <x:v>15130caf1ad71f8f356a96e3935b80da93bd48e1fa6beb048be4b17fb3d394d3</x:v>
      </x:c>
    </x:row>
    <x:row r="29" ht="42" customHeight="1">
      <x:c r="A29" s="6" t="str">
        <x:v>Assets/PaperDefense/Core/BalanceValidation.cs</x:v>
      </x:c>
      <x:c r="B29" s="6" t="str">
        <x:v>646c058941489bb124bf7ed42a6b5eec5ce78d4f2ffde9c00ed1ab81d132ea99</x:v>
      </x:c>
    </x:row>
    <x:row r="30" ht="42" customHeight="1">
      <x:c r="A30" s="6" t="str">
        <x:v>Assets/PaperDefense/Core/BlotContext.cs</x:v>
      </x:c>
      <x:c r="B30" s="6" t="str">
        <x:v>197a382a1f0ff8f47194a4c054d193533f83a5b60384ea6e39e75eb096bfa920</x:v>
      </x:c>
    </x:row>
    <x:row r="31" ht="42" customHeight="1">
      <x:c r="A31" s="6" t="str">
        <x:v>Assets/PaperDefense/Core/ColorEffectPayload.cs</x:v>
      </x:c>
      <x:c r="B31" s="6" t="str">
        <x:v>4af103e2e441b623189e6ce109842a7b980c6395e2f1180abbd3ac0107a99c04</x:v>
      </x:c>
    </x:row>
    <x:row r="32" ht="42" customHeight="1">
      <x:c r="A32" s="6" t="str">
        <x:v>Assets/PaperDefense/Core/CorpseBlotSystem.cs</x:v>
      </x:c>
      <x:c r="B32" s="6" t="str">
        <x:v>100c3fd462dd065a8740cf8f4b78f4f0f7d7d71c0c5c5d634ae4a70cfac37b8b</x:v>
      </x:c>
    </x:row>
    <x:row r="33" ht="42" customHeight="1">
      <x:c r="A33" s="6" t="str">
        <x:v>Assets/PaperDefense/Core/DamageRules.cs</x:v>
      </x:c>
      <x:c r="B33" s="6" t="str">
        <x:v>36db13afcd2626a9e391704abdd32977e6f3a17aaaf567be494f967a23dbd558</x:v>
      </x:c>
    </x:row>
    <x:row r="34" ht="42" customHeight="1">
      <x:c r="A34" s="6" t="str">
        <x:v>Assets/PaperDefense/Core/DrawingAssessment.cs</x:v>
      </x:c>
      <x:c r="B34" s="6" t="str">
        <x:v>d3e09e9b177486a6d3f676668e5cd33fcee7faa9a60d4b32c6b06ddb24377baa</x:v>
      </x:c>
    </x:row>
    <x:row r="35" ht="42" customHeight="1">
      <x:c r="A35" s="6" t="str">
        <x:v>Assets/PaperDefense/Core/DrawingEditSession.cs</x:v>
      </x:c>
      <x:c r="B35" s="6" t="str">
        <x:v>eaea0d112d47aaaba5ec0115b0de2c00811865108318b05237408456d019e7ab</x:v>
      </x:c>
    </x:row>
    <x:row r="36" ht="42" customHeight="1">
      <x:c r="A36" s="6" t="str">
        <x:v>Assets/PaperDefense/Core/DrawingPartPolicy.cs</x:v>
      </x:c>
      <x:c r="B36" s="6" t="str">
        <x:v>1bf05181fe33a5dfdf0e10c08dba7559f3656a518cf1283d97ade6e3b0903db9</x:v>
      </x:c>
    </x:row>
    <x:row r="37" ht="42" customHeight="1">
      <x:c r="A37" s="6" t="str">
        <x:v>Assets/PaperDefense/Core/DrawingTemplates.cs</x:v>
      </x:c>
      <x:c r="B37" s="6" t="str">
        <x:v>a65e4971aa5eb385c2f689f2db56312c2190f8572874d4f53cfd54f96deec6bf</x:v>
      </x:c>
    </x:row>
    <x:row r="38" ht="42" customHeight="1">
      <x:c r="A38" s="6" t="str">
        <x:v>Assets/PaperDefense/Core/Drawings.cs</x:v>
      </x:c>
      <x:c r="B38" s="6" t="str">
        <x:v>67267eab18bc1b0017c1c824c6335f10440614bf0e052cdd4c9c34e34822abce</x:v>
      </x:c>
    </x:row>
    <x:row r="39" ht="42" customHeight="1">
      <x:c r="A39" s="6" t="str">
        <x:v>Assets/PaperDefense/Core/EffectsRules.cs</x:v>
      </x:c>
      <x:c r="B39" s="6" t="str">
        <x:v>063908ac5ad17133a08b6a48e0678d76d44a5c8f08622e2589cdc8bc919d21f0</x:v>
      </x:c>
    </x:row>
    <x:row r="40" ht="42" customHeight="1">
      <x:c r="A40" s="6" t="str">
        <x:v>Assets/PaperDefense/Core/EnemyCrowdGrid.cs</x:v>
      </x:c>
      <x:c r="B40" s="6" t="str">
        <x:v>fc56c1c30ff18e5e5ab9418ff60a83fde026a0cf3869c7167541c579ffe9414b</x:v>
      </x:c>
    </x:row>
    <x:row r="41" ht="42" customHeight="1">
      <x:c r="A41" s="6" t="str">
        <x:v>Assets/PaperDefense/Core/EnemyEffects.cs</x:v>
      </x:c>
      <x:c r="B41" s="6" t="str">
        <x:v>1c3e8443c59f4a24bb2af4be72f2ec8e91558164aa9dad6a3447cb5aa7095198</x:v>
      </x:c>
    </x:row>
    <x:row r="42" ht="42" customHeight="1">
      <x:c r="A42" s="6" t="str">
        <x:v>Assets/PaperDefense/Core/EnemyMechanicsTypes.cs</x:v>
      </x:c>
      <x:c r="B42" s="6" t="str">
        <x:v>07062f33eb858cb2cbad5d180c8050b4b3731e9d2630e5f15db3b2e5aa4d5665</x:v>
      </x:c>
    </x:row>
    <x:row r="43" ht="42" customHeight="1">
      <x:c r="A43" s="6" t="str">
        <x:v>Assets/PaperDefense/Core/EnemyRewardBudget.cs</x:v>
      </x:c>
      <x:c r="B43" s="6" t="str">
        <x:v>50346650ae37271901947d3b516b8a31fb74998f64e1f55471e73e6093bb0cb9</x:v>
      </x:c>
    </x:row>
    <x:row r="44" ht="42" customHeight="1">
      <x:c r="A44" s="6" t="str">
        <x:v>Assets/PaperDefense/Core/EnemySpatialIndex.cs</x:v>
      </x:c>
      <x:c r="B44" s="6" t="str">
        <x:v>7aa36c444164bb16bbb2011775214a64eef2029264638a5c0278279dd08ea70c</x:v>
      </x:c>
    </x:row>
    <x:row r="45" ht="42" customHeight="1">
      <x:c r="A45" s="6" t="str">
        <x:v>Assets/PaperDefense/Core/FootprintGeometry.cs</x:v>
      </x:c>
      <x:c r="B45" s="6" t="str">
        <x:v>1f9190c44a050408490fce2703b470c1f8867815f3e9a9f8615f1e2a5158b138</x:v>
      </x:c>
    </x:row>
    <x:row r="46" ht="42" customHeight="1">
      <x:c r="A46" s="6" t="str">
        <x:v>Assets/PaperDefense/Core/GameBalancePresets.cs</x:v>
      </x:c>
      <x:c r="B46" s="6" t="str">
        <x:v>b7123f41823b7ef2f09d6382fe2f82e530a546ea33b8d08f03b638a7bd31dc20</x:v>
      </x:c>
    </x:row>
    <x:row r="47" ht="42" customHeight="1">
      <x:c r="A47" s="6" t="str">
        <x:v>Assets/PaperDefense/Core/GameSession.Construction.cs</x:v>
      </x:c>
      <x:c r="B47" s="6" t="str">
        <x:v>ff432d536db30532890f4563aa9a0d0262bcd857eb8689fde5fbc506036db835</x:v>
      </x:c>
    </x:row>
    <x:row r="48" ht="42" customHeight="1">
      <x:c r="A48" s="6" t="str">
        <x:v>Assets/PaperDefense/Core/GameSession.Enemies.cs</x:v>
      </x:c>
      <x:c r="B48" s="6" t="str">
        <x:v>6add9841f7d6060d9a44d2246045f7db5dd98047d5229da09e3b0e9b985905b2</x:v>
      </x:c>
    </x:row>
    <x:row r="49" ht="42" customHeight="1">
      <x:c r="A49" s="6" t="str">
        <x:v>Assets/PaperDefense/Core/GameSession.Objectives.cs</x:v>
      </x:c>
      <x:c r="B49" s="6" t="str">
        <x:v>39e4ea787d013bbdd7c1a309762903bc3235320247de021e0600386342381b83</x:v>
      </x:c>
    </x:row>
    <x:row r="50" ht="42" customHeight="1">
      <x:c r="A50" s="6" t="str">
        <x:v>Assets/PaperDefense/Core/GameSession.Progression.cs</x:v>
      </x:c>
      <x:c r="B50" s="6" t="str">
        <x:v>1fead9147dc6eeea4ae46f165a63f75c4a18f3e1f210dbc2a2af96aed27a2a3c</x:v>
      </x:c>
    </x:row>
    <x:row r="51" ht="42" customHeight="1">
      <x:c r="A51" s="6" t="str">
        <x:v>Assets/PaperDefense/Core/GameSession.cs</x:v>
      </x:c>
      <x:c r="B51" s="6" t="str">
        <x:v>1c3e31c665da5dc91bb154d2895d94a68e2c3308174c38e919c1576346c359d7</x:v>
      </x:c>
    </x:row>
    <x:row r="52" ht="42" customHeight="1">
      <x:c r="A52" s="6" t="str">
        <x:v>Assets/PaperDefense/Core/GameTypes.cs</x:v>
      </x:c>
      <x:c r="B52" s="6" t="str">
        <x:v>29acf45601852e5931d1f104c239d89d586c04dcfe82105fa9ae5f9124f8fa82</x:v>
      </x:c>
    </x:row>
    <x:row r="53" ht="42" customHeight="1">
      <x:c r="A53" s="6" t="str">
        <x:v>Assets/PaperDefense/Core/MechanicsConfiguration.cs</x:v>
      </x:c>
      <x:c r="B53" s="6" t="str">
        <x:v>e0204584142111c98461b8cf0b108be10c533ea2c608c1d2290488b3c0514d40</x:v>
      </x:c>
    </x:row>
    <x:row r="54" ht="42" customHeight="1">
      <x:c r="A54" s="6" t="str">
        <x:v>Assets/PaperDefense/Core/MortarFootprint.cs</x:v>
      </x:c>
      <x:c r="B54" s="6" t="str">
        <x:v>d4b19ac7d3ef28c1a223dc5d6a4208d7b3c0599e8e17591c521129f6c4fd15ba</x:v>
      </x:c>
    </x:row>
    <x:row r="55" ht="42" customHeight="1">
      <x:c r="A55" s="6" t="str">
        <x:v>Assets/PaperDefense/Core/MortarFootprintProbe.cs</x:v>
      </x:c>
      <x:c r="B55" s="6" t="str">
        <x:v>ddf81b70a23d49259c7a4a5926e5d5f6e1f58c1530a14c9a0f7b0f5f72a772d4</x:v>
      </x:c>
    </x:row>
    <x:row r="56" ht="42" customHeight="1">
      <x:c r="A56" s="6" t="str">
        <x:v>Assets/PaperDefense/Core/MortarProjectile.cs</x:v>
      </x:c>
      <x:c r="B56" s="6" t="str">
        <x:v>e7f637a60012f0b1f7f66876a2110e247f463aced9b51d5e5d643445af376d93</x:v>
      </x:c>
    </x:row>
    <x:row r="57" ht="42" customHeight="1">
      <x:c r="A57" s="6" t="str">
        <x:v>Assets/PaperDefense/Core/PartCatalog.cs</x:v>
      </x:c>
      <x:c r="B57" s="6" t="str">
        <x:v>9b05487cdb4242d37f99b187c99219c91c3389d4efe5df92ecd9a06da35a3942</x:v>
      </x:c>
    </x:row>
    <x:row r="58" ht="42" customHeight="1">
      <x:c r="A58" s="6" t="str">
        <x:v>Assets/PaperDefense/Core/ProfileLimits.cs</x:v>
      </x:c>
      <x:c r="B58" s="6" t="str">
        <x:v>8fb14ccb2038331595bcafd2f94117d23dcb4f46bff18065b4905c4f78ce4e2d</x:v>
      </x:c>
    </x:row>
    <x:row r="59" ht="42" customHeight="1">
      <x:c r="A59" s="6" t="str">
        <x:v>Assets/PaperDefense/Core/ProgressionRules.cs</x:v>
      </x:c>
      <x:c r="B59" s="6" t="str">
        <x:v>0a5b7e5ebae811a76f1071d456accd258c1f7b08dec247a6afbb7840a4b272bb</x:v>
      </x:c>
    </x:row>
    <x:row r="60" ht="42" customHeight="1">
      <x:c r="A60" s="6" t="str">
        <x:v>Assets/PaperDefense/Core/ReadModel.cs</x:v>
      </x:c>
      <x:c r="B60" s="6" t="str">
        <x:v>775748bd5741b8443507c5556b7ab9560f499e0cc0494473eaf8636cb69bcda6</x:v>
      </x:c>
    </x:row>
    <x:row r="61" ht="42" customHeight="1">
      <x:c r="A61" s="6" t="str">
        <x:v>Assets/PaperDefense/Core/RunStatistics.cs</x:v>
      </x:c>
      <x:c r="B61" s="6" t="str">
        <x:v>1af0175ed489192d03188af4d7ed21634c5ae17bfdfa86b914386cf7cdc9fb4a</x:v>
      </x:c>
    </x:row>
    <x:row r="62" ht="42" customHeight="1">
      <x:c r="A62" s="6" t="str">
        <x:v>Assets/PaperDefense/Core/SimulationEvents.cs</x:v>
      </x:c>
      <x:c r="B62" s="6" t="str">
        <x:v>4df4183edb1251ac3d26a6ac96c6053907f86830dddbd4d5d276f5b2ae7d1f6e</x:v>
      </x:c>
    </x:row>
    <x:row r="63" ht="42" customHeight="1">
      <x:c r="A63" s="6" t="str">
        <x:v>Assets/PaperDefense/Core/TargetPresetSettings.cs</x:v>
      </x:c>
      <x:c r="B63" s="6" t="str">
        <x:v>534327c8579ac61e9282545664be75e0ab620699f6df426f7e3669a5fe499563</x:v>
      </x:c>
    </x:row>
    <x:row r="64" ht="42" customHeight="1">
      <x:c r="A64" s="6" t="str">
        <x:v>Assets/PaperDefense/Core/TimedEffectState.cs</x:v>
      </x:c>
      <x:c r="B64" s="6" t="str">
        <x:v>75ac2b30aadd998244bffd23b80fb104e924e966b652322a664822cac901979c</x:v>
      </x:c>
    </x:row>
    <x:row r="65" ht="42" customHeight="1">
      <x:c r="A65" s="6" t="str">
        <x:v>Assets/PaperDefense/Core/TowerBlueprint.cs</x:v>
      </x:c>
      <x:c r="B65" s="6" t="str">
        <x:v>dad99a53287d4d90638af135942fab9ea826466ae4d5983e57c353b081e93bb2</x:v>
      </x:c>
    </x:row>
    <x:row r="66" ht="42" customHeight="1">
      <x:c r="A66" s="6" t="str">
        <x:v>Assets/PaperDefense/Core/TowerColorBudget.cs</x:v>
      </x:c>
      <x:c r="B66" s="6" t="str">
        <x:v>d9e0d85247f5eaf2be69b0a45ebe8792583dd234f03c78415d178a054bb6d39a</x:v>
      </x:c>
    </x:row>
    <x:row r="67" ht="42" customHeight="1">
      <x:c r="A67" s="6" t="str">
        <x:v>Assets/PaperDefense/Core/TowerConstructionRules.cs</x:v>
      </x:c>
      <x:c r="B67" s="6" t="str">
        <x:v>147087f8ba3825e2922d464cd450667dddf96fccb1e4a36fe1de2e45aef36767</x:v>
      </x:c>
    </x:row>
    <x:row r="68" ht="42" customHeight="1">
      <x:c r="A68" s="6" t="str">
        <x:v>Assets/PaperDefense/Core/TrialRunner.cs</x:v>
      </x:c>
      <x:c r="B68" s="6" t="str">
        <x:v>3d39458c7079d35a71928837e6a3820975dbfc32a44265b354e07427e140fb61</x:v>
      </x:c>
    </x:row>
    <x:row r="69" ht="42" customHeight="1">
      <x:c r="A69" s="6" t="str">
        <x:v>Assets/PaperDefense/Core/TrialScenarioDefinition.cs</x:v>
      </x:c>
      <x:c r="B69" s="6" t="str">
        <x:v>d0dbdc5ef1267ec0dafb003c8013c358d19965b43fc871b9e2b3cea759e1dbf0</x:v>
      </x:c>
    </x:row>
    <x:row r="70" ht="42" customHeight="1">
      <x:c r="A70" s="6" t="str">
        <x:v>Assets/PaperDefense/Core/WeaponSystem.cs</x:v>
      </x:c>
      <x:c r="B70" s="6" t="str">
        <x:v>7c46a721b730ef69edd77e7a1c733215cf3025f02923d9c9c2c630b7202d39c3</x:v>
      </x:c>
    </x:row>
    <x:row r="71" ht="42" customHeight="1">
      <x:c r="A71" s="6" t="str">
        <x:v>Assets/PaperDefense/Core/WeightedFlowField.cs</x:v>
      </x:c>
      <x:c r="B71" s="6" t="str">
        <x:v>41238a7deab67f2eaff9504363134521a7aaa14e28127095ca9b98959b6b96a7</x:v>
      </x:c>
    </x:row>
    <x:row r="72" ht="42" customHeight="1">
      <x:c r="A72" s="6" t="str">
        <x:v>Assets/PaperDefense/Core/WorkshopProfile.cs</x:v>
      </x:c>
      <x:c r="B72" s="6" t="str">
        <x:v>d6cef68d96c6043c76e66f030945a2c898dc555c080b0c08d9da814bb0046e37</x:v>
      </x:c>
    </x:row>
    <x:row r="73" ht="42" customHeight="1">
      <x:c r="A73" s="6" t="str">
        <x:v>Assets/PaperDefense/Editor/BalanceWorkbookExport.cs</x:v>
      </x:c>
      <x:c r="B73" s="6" t="str">
        <x:v>bf66fb690d8238e0e753e329f7be15941755eda9307e178262a40bf537e4c19f</x:v>
      </x:c>
    </x:row>
  </x:sheetData>
  <x:pageMargins left="0.7" right="0.7" top="0.75" bottom="0.75" header="0.3" footer="0.3"/>
  <x:tableParts count="2">
    <x:tablePart xmlns:r="http://schemas.openxmlformats.org/officeDocument/2006/relationships" r:id="R3b406a12a71d428d"/>
    <x:tablePart xmlns:r="http://schemas.openxmlformats.org/officeDocument/2006/relationships" r:id="R2efc3b58f1884459"/>
  </x:tableParts>
</x:worksheet>
</file>