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26def2114447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05ddd8a82e3f47be"/>
    <x:sheet xmlns:r="http://schemas.openxmlformats.org/officeDocument/2006/relationships" name="Башни" sheetId="2" r:id="R30332783768f4fd2"/>
    <x:sheet xmlns:r="http://schemas.openxmlformats.org/officeDocument/2006/relationships" name="Оружие расчёт" sheetId="3" r:id="Ra9b0c5d75771416b"/>
    <x:sheet xmlns:r="http://schemas.openxmlformats.org/officeDocument/2006/relationships" name="Сооружения" sheetId="4" r:id="R35d09b8ff6604cff"/>
    <x:sheet xmlns:r="http://schemas.openxmlformats.org/officeDocument/2006/relationships" name="Прогрессия" sheetId="5" r:id="R547c04194f55487c"/>
    <x:sheet xmlns:r="http://schemas.openxmlformats.org/officeDocument/2006/relationships" name="Детали основы" sheetId="6" r:id="R3ae67cb34f364e94"/>
    <x:sheet xmlns:r="http://schemas.openxmlformats.org/officeDocument/2006/relationships" name="Механизмы" sheetId="7" r:id="Rfe2921c365c04e3f"/>
    <x:sheet xmlns:r="http://schemas.openxmlformats.org/officeDocument/2006/relationships" name="Детали оружия" sheetId="8" r:id="Rd37b6e2d17294a0b"/>
    <x:sheet xmlns:r="http://schemas.openxmlformats.org/officeDocument/2006/relationships" name="Детали зданий" sheetId="9" r:id="R4118feb857aa4dc7"/>
    <x:sheet xmlns:r="http://schemas.openxmlformats.org/officeDocument/2006/relationships" name="Текущая игра" sheetId="10" r:id="R14b2bcf0f3ba462d"/>
    <x:sheet xmlns:r="http://schemas.openxmlformats.org/officeDocument/2006/relationships" name="Правила" sheetId="11" r:id="R80c3941e836f4d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"/>
    <x:numFmt numFmtId="201" formatCode="0"/>
    <x:numFmt numFmtId="202" formatCode="@"/>
    <x:numFmt numFmtId="203" formatCode="yyyy-mm-dd hh:mm"/>
  </x:numFmts>
  <x:fonts count="6">
    <x:font>
      <x:sz val="11"/>
      <x:name val="Carlito"/>
    </x:font>
    <x:font>
      <x:sz val="11"/>
      <x:color rgb="FF19375D"/>
      <x:name val="Arial"/>
    </x:font>
    <x:font>
      <x:b/>
      <x:sz val="16"/>
      <x:color rgb="FF173568"/>
      <x:name val="Arial"/>
    </x:font>
    <x:font>
      <x:i/>
      <x:sz val="10"/>
      <x:color rgb="FF5B6574"/>
      <x:name val="Arial"/>
    </x:font>
    <x:font>
      <x:b/>
      <x:sz val="11"/>
      <x:color rgb="FFFFFFFF"/>
      <x:name val="Arial"/>
    </x:font>
    <x:font>
      <x:b/>
      <x:sz val="16"/>
      <x:color rgb="FF19375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54C7C"/>
      </x:patternFill>
    </x:fill>
    <x:fill>
      <x:patternFill patternType="solid">
        <x:fgColor rgb="FFF0F4F9"/>
      </x:patternFill>
    </x:fill>
    <x:fill>
      <x:patternFill patternType="solid">
        <x:fgColor rgb="FFFFF4D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1" fillId="4" borderId="0" xfId="0" applyNumberFormat="1" applyFont="1" applyFill="1" applyBorder="1"/>
    <x:xf numFmtId="203" fontId="1" fillId="3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99659f7a144edd" /><Relationship Type="http://schemas.openxmlformats.org/officeDocument/2006/relationships/theme" Target="/xl/theme/theme1.xml" Id="R374827b709a44fee" /><Relationship Type="http://schemas.openxmlformats.org/officeDocument/2006/relationships/sharedStrings" Target="/xl/sharedStrings.xml" Id="Re106c3a18d934f27" /><Relationship Type="http://schemas.openxmlformats.org/officeDocument/2006/relationships/worksheet" Target="/xl/worksheets/sheet1.xml" Id="R05ddd8a82e3f47be" /><Relationship Type="http://schemas.openxmlformats.org/officeDocument/2006/relationships/worksheet" Target="/xl/worksheets/sheet2.xml" Id="R30332783768f4fd2" /><Relationship Type="http://schemas.openxmlformats.org/officeDocument/2006/relationships/worksheet" Target="/xl/worksheets/sheet3.xml" Id="Ra9b0c5d75771416b" /><Relationship Type="http://schemas.openxmlformats.org/officeDocument/2006/relationships/worksheet" Target="/xl/worksheets/sheet4.xml" Id="R35d09b8ff6604cff" /><Relationship Type="http://schemas.openxmlformats.org/officeDocument/2006/relationships/worksheet" Target="/xl/worksheets/sheet5.xml" Id="R547c04194f55487c" /><Relationship Type="http://schemas.openxmlformats.org/officeDocument/2006/relationships/worksheet" Target="/xl/worksheets/sheet6.xml" Id="R3ae67cb34f364e94" /><Relationship Type="http://schemas.openxmlformats.org/officeDocument/2006/relationships/worksheet" Target="/xl/worksheets/sheet7.xml" Id="Rfe2921c365c04e3f" /><Relationship Type="http://schemas.openxmlformats.org/officeDocument/2006/relationships/worksheet" Target="/xl/worksheets/sheet8.xml" Id="Rd37b6e2d17294a0b" /><Relationship Type="http://schemas.openxmlformats.org/officeDocument/2006/relationships/worksheet" Target="/xl/worksheets/sheet9.xml" Id="R4118feb857aa4dc7" /><Relationship Type="http://schemas.openxmlformats.org/officeDocument/2006/relationships/worksheet" Target="/xl/worksheets/sheet10.xml" Id="R14b2bcf0f3ba462d" /><Relationship Type="http://schemas.openxmlformats.org/officeDocument/2006/relationships/worksheet" Target="/xl/worksheets/sheet11.xml" Id="R80c3941e836f4dbc" /></Relationships>
</file>

<file path=xl/tables/table1.xml><?xml version="1.0" encoding="utf-8"?>
<x:table xmlns:x="http://schemas.openxmlformats.org/spreadsheetml/2006/main" id="9" name="Table0" displayName="Table0" ref="A5:H13" headerRowCount="1" totalsRowCount="0" totalsRowShown="0">
  <x:tableColumns count="8">
    <x:tableColumn id="1" name="Рисунок"/>
    <x:tableColumn id="2" name="Тип"/>
    <x:tableColumn id="3" name="Цена, штр."/>
    <x:tableColumn id="4" name="HP"/>
    <x:tableColumn id="5" name="Уровень"/>
    <x:tableColumn id="6" name="Нагрузка"/>
    <x:tableColumn id="7" name="Вместимость"/>
    <x:tableColumn id="8" name="Роль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7" name="Table1" displayName="Table1" ref="A5:S15" headerRowCount="1" totalsRowCount="0" totalsRowShown="0">
  <x:tableColumns count="19">
    <x:tableColumn id="1" name="Рисунок"/>
    <x:tableColumn id="2" name="Цена, штр."/>
    <x:tableColumn id="3" name="HP"/>
    <x:tableColumn id="4" name="Нагрузка"/>
    <x:tableColumn id="5" name="Вместимость"/>
    <x:tableColumn id="6" name="DPS одной цели"/>
    <x:tableColumn id="7" name="Дальность"/>
    <x:tableColumn id="8" name="Уровень"/>
    <x:tableColumn id="9" name="Подача / ствол"/>
    <x:tableColumn id="10" name="Защита"/>
    <x:tableColumn id="11" name="Эфф. HP"/>
    <x:tableColumn id="12" name="Рамка"/>
    <x:tableColumn id="13" name="Корпус"/>
    <x:tableColumn id="14" name="Броня"/>
    <x:tableColumn id="15" name="Подача"/>
    <x:tableColumn id="16" name="Поворот"/>
    <x:tableColumn id="17" name="Оружие"/>
    <x:tableColumn id="18" name="Стволов"/>
    <x:tableColumn id="19" name="Роль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6" name="Table2" displayName="Table2" ref="A5:T16" headerRowCount="1" totalsRowCount="0" totalsRowShown="0">
  <x:tableColumns count="20">
    <x:tableColumn id="1" name="Вариант"/>
    <x:tableColumn id="2" name="Урон"/>
    <x:tableColumn id="3" name="Интервал, с"/>
    <x:tableColumn id="4" name="Обойма"/>
    <x:tableColumn id="5" name="Перезарядка, с"/>
    <x:tableColumn id="6" name="Цикл, с"/>
    <x:tableColumn id="7" name="DPS одной цели"/>
    <x:tableColumn id="8" name="Дальность"/>
    <x:tableColumn id="9" name="Мин. дальность"/>
    <x:tableColumn id="10" name="Цена, штр."/>
    <x:tableColumn id="11" name="Нагрузка"/>
    <x:tableColumn id="12" name="Уровень"/>
    <x:tableColumn id="13" name="Захват, с"/>
    <x:tableColumn id="14" name="Радиус"/>
    <x:tableColumn id="15" name="Цели для оценки"/>
    <x:tableColumn id="16" name="Механизм"/>
    <x:tableColumn id="17" name="Ствол / головка"/>
    <x:tableColumn id="18" name="Прицел"/>
    <x:tableColumn id="19" name="Магазин"/>
    <x:tableColumn id="20" name="Спуск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8" name="Table3" displayName="Table3" ref="A5:P12" headerRowCount="1" totalsRowCount="0" totalsRowShown="0">
  <x:tableColumns count="16">
    <x:tableColumn id="1" name="Рисунок"/>
    <x:tableColumn id="2" name="Цена, штр."/>
    <x:tableColumn id="3" name="HP"/>
    <x:tableColumn id="4" name="Нагрузка"/>
    <x:tableColumn id="5" name="Вместимость"/>
    <x:tableColumn id="6" name="Радиус"/>
    <x:tableColumn id="7" name="Выработка"/>
    <x:tableColumn id="8" name="Скорость цели ×"/>
    <x:tableColumn id="9" name="Защита"/>
    <x:tableColumn id="10" name="Уровень"/>
    <x:tableColumn id="11" name="Окупаемость, волн"/>
    <x:tableColumn id="12" name="Основание"/>
    <x:tableColumn id="13" name="Функция"/>
    <x:tableColumn id="14" name="Оболочка"/>
    <x:tableColumn id="15" name="Оснащение"/>
    <x:tableColumn id="16" name="Единица выработки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" name="Table5" displayName="Table5" ref="A5:R19" headerRowCount="1" totalsRowCount="0" totalsRowShown="0">
  <x:tableColumns count="18">
    <x:tableColumn id="1" name="ID"/>
    <x:tableColumn id="2" name="Деталь"/>
    <x:tableColumn id="3" name="Категория"/>
    <x:tableColumn id="4" name="Уровень"/>
    <x:tableColumn id="5" name="Открытие, зол."/>
    <x:tableColumn id="6" name="Цена, штр."/>
    <x:tableColumn id="7" name="Нагрузка"/>
    <x:tableColumn id="8" name="Базовые HP"/>
    <x:tableColumn id="9" name="HP ×"/>
    <x:tableColumn id="10" name="Вместимость"/>
    <x:tableColumn id="11" name="Вместимость +"/>
    <x:tableColumn id="12" name="Крепления"/>
    <x:tableColumn id="13" name="Подача рамки"/>
    <x:tableColumn id="14" name="Подача ×"/>
    <x:tableColumn id="15" name="Защита"/>
    <x:tableColumn id="16" name="Защита спереди"/>
    <x:tableColumn id="17" name="Захват ×"/>
    <x:tableColumn id="18" name="Сборка, с +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" name="Table6" displayName="Table6" ref="A5:T12" headerRowCount="1" totalsRowCount="0" totalsRowShown="0">
  <x:tableColumns count="20">
    <x:tableColumn id="1" name="ID"/>
    <x:tableColumn id="2" name="Механизм"/>
    <x:tableColumn id="3" name="Уровень"/>
    <x:tableColumn id="4" name="Открытие, зол."/>
    <x:tableColumn id="5" name="Цена, штр."/>
    <x:tableColumn id="6" name="Нагрузка"/>
    <x:tableColumn id="7" name="Урон"/>
    <x:tableColumn id="8" name="Интервал, с"/>
    <x:tableColumn id="9" name="Дальность, кл."/>
    <x:tableColumn id="10" name="Мин. дальность"/>
    <x:tableColumn id="11" name="Обойма, шт."/>
    <x:tableColumn id="12" name="Смена обоймы, с"/>
    <x:tableColumn id="13" name="Цели для оценки"/>
    <x:tableColumn id="14" name="Радиус, кл."/>
    <x:tableColumn id="15" name="Скорость цели ×"/>
    <x:tableColumn id="16" name="Эффект, с"/>
    <x:tableColumn id="17" name="Полёт, с"/>
    <x:tableColumn id="18" name="Переход, кл."/>
    <x:tableColumn id="19" name="Поведение"/>
    <x:tableColumn id="20" name="Условие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Table7" displayName="Table7" ref="A5:Q23" headerRowCount="1" totalsRowCount="0" totalsRowShown="0">
  <x:tableColumns count="17">
    <x:tableColumn id="1" name="ID"/>
    <x:tableColumn id="2" name="Деталь"/>
    <x:tableColumn id="3" name="Категория"/>
    <x:tableColumn id="4" name="Совместимые механизмы"/>
    <x:tableColumn id="5" name="Уровень"/>
    <x:tableColumn id="6" name="Открытие, зол."/>
    <x:tableColumn id="7" name="Цена, штр. +"/>
    <x:tableColumn id="8" name="Нагрузка +"/>
    <x:tableColumn id="9" name="Урон ×"/>
    <x:tableColumn id="10" name="Интервал ×"/>
    <x:tableColumn id="11" name="Дальность ×"/>
    <x:tableColumn id="12" name="Обойма ×"/>
    <x:tableColumn id="13" name="Обойма замена"/>
    <x:tableColumn id="14" name="Перезарядка ×"/>
    <x:tableColumn id="15" name="Захват ×"/>
    <x:tableColumn id="16" name="Радиус ×"/>
    <x:tableColumn id="17" name="Особое правило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4" name="Table8" displayName="Table8" ref="A5:S20" headerRowCount="1" totalsRowCount="0" totalsRowShown="0">
  <x:tableColumns count="19">
    <x:tableColumn id="1" name="ID"/>
    <x:tableColumn id="2" name="Деталь"/>
    <x:tableColumn id="3" name="Категория"/>
    <x:tableColumn id="4" name="Семейство"/>
    <x:tableColumn id="5" name="Уровень"/>
    <x:tableColumn id="6" name="Открытие, зол."/>
    <x:tableColumn id="7" name="Цена, штр."/>
    <x:tableColumn id="8" name="Нагрузка"/>
    <x:tableColumn id="9" name="Вместимость"/>
    <x:tableColumn id="10" name="Базовые HP"/>
    <x:tableColumn id="11" name="HP ×"/>
    <x:tableColumn id="12" name="Радиус, кл."/>
    <x:tableColumn id="13" name="Радиус ×"/>
    <x:tableColumn id="14" name="HP/с или штр./волну"/>
    <x:tableColumn id="15" name="Выработка ×"/>
    <x:tableColumn id="16" name="Скорость цели ×"/>
    <x:tableColumn id="17" name="Защита"/>
    <x:tableColumn id="18" name="Сборка, с"/>
    <x:tableColumn id="19" name="Правило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Table9" displayName="Table9" ref="A5:G168" headerRowCount="1" totalsRowCount="0" totalsRowShown="0">
  <x:tableColumns count="7">
    <x:tableColumn id="1" name="ID"/>
    <x:tableColumn id="2" name="Объект"/>
    <x:tableColumn id="3" name="Параметр"/>
    <x:tableColumn id="4" name="Значение"/>
    <x:tableColumn id="5" name="Единица"/>
    <x:tableColumn id="6" name="Источник"/>
    <x:tableColumn id="7" name="Снято UTC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5" name="Table10" displayName="Table10" ref="A5:C28" headerRowCount="1" totalsRowCount="0" totalsRowShown="0">
  <x:tableColumns count="3">
    <x:tableColumn id="1" name="Параметр"/>
    <x:tableColumn id="2" name="Значение"/>
    <x:tableColumn id="3" name="Пояснение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02b5710e6ca488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6299223126c427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7ee415ca08d4ca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c83053a9c1c455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e65a9d0b227412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c16e35048a84dc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7ec4b1e6f604ab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26348ca9da4e9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c9e567cf47dc4ba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6886a91a751f428e" /></Relationships>
</file>

<file path=xl/worksheets/sheet1.xml><?xml version="1.0" encoding="utf-8"?>
<x:worksheet xmlns:x="http://schemas.openxmlformats.org/spreadsheetml/2006/main">
  <x:sheetPr>
    <x:tabColor rgb="FF173568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3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5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Альбом: стартовый набор</x:v>
      </x:c>
      <x:c r="B2" s="1"/>
      <x:c r="C2" s="1"/>
      <x:c r="D2" s="1"/>
      <x:c r="E2" s="1"/>
      <x:c r="F2" s="1"/>
      <x:c r="G2" s="1"/>
      <x:c r="H2" s="1"/>
    </x:row>
    <x:row r="3">
      <x:c r="A3" s="3" t="str">
        <x:v>18.10.2026 · 8 общих слотов · расчётный баланс v1.0. Жёлтый фон — редактируемые входы, белый — формулы.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46" customHeight="1">
      <x:c r="A5" s="8" t="str">
        <x:v>Рисунок</x:v>
      </x:c>
      <x:c r="B5" s="8" t="str">
        <x:v>Тип</x:v>
      </x:c>
      <x:c r="C5" s="8" t="str">
        <x:v>Цена, штр.</x:v>
      </x:c>
      <x:c r="D5" s="8" t="str">
        <x:v>HP</x:v>
      </x:c>
      <x:c r="E5" s="8" t="str">
        <x:v>Уровень</x:v>
      </x:c>
      <x:c r="F5" s="8" t="str">
        <x:v>Нагрузка</x:v>
      </x:c>
      <x:c r="G5" s="8" t="str">
        <x:v>Вместимость</x:v>
      </x:c>
      <x:c r="H5" s="8" t="str">
        <x:v>Роль</x:v>
      </x:c>
    </x:row>
    <x:row r="6" ht="28" customHeight="1">
      <x:c r="A6" s="11" t="str">
        <x:v>Дозор</x:v>
      </x:c>
      <x:c r="B6" s="11" t="str">
        <x:v>Башня</x:v>
      </x:c>
      <x:c r="C6" s="12" t="n">
        <x:f>INDEX('Башни'!B$6:B15,MATCH(A6,'Башни'!$A$6:$A15,0))</x:f>
        <x:v>40</x:v>
      </x:c>
      <x:c r="D6" s="11" t="n">
        <x:f>INDEX('Башни'!C$6:C15,MATCH(A6,'Башни'!$A$6:$A15,0))</x:f>
        <x:v>55</x:v>
      </x:c>
      <x:c r="E6" s="12" t="n">
        <x:f>INDEX('Башни'!H$6:H15,MATCH(A6,'Башни'!$A$6:$A15,0))</x:f>
        <x:v>1</x:v>
      </x:c>
      <x:c r="F6" s="12" t="n">
        <x:f>INDEX('Башни'!D$6:D15,MATCH(A6,'Башни'!$A$6:$A15,0))</x:f>
        <x:v>4</x:v>
      </x:c>
      <x:c r="G6" s="12" t="n">
        <x:f>INDEX('Башни'!E$6:E15,MATCH(A6,'Башни'!$A$6:$A15,0))</x:f>
        <x:v>10</x:v>
      </x:c>
      <x:c r="H6" s="11" t="str">
        <x:v>Дешёвая точечная оборона</x:v>
      </x:c>
    </x:row>
    <x:row r="7" ht="28" customHeight="1">
      <x:c r="A7" s="10" t="str">
        <x:v>Двойной дозор</x:v>
      </x:c>
      <x:c r="B7" s="10" t="str">
        <x:v>Башня</x:v>
      </x:c>
      <x:c r="C7" s="13" t="n">
        <x:f>INDEX('Башни'!B$6:B15,MATCH(A7,'Башни'!$A$6:$A15,0))</x:f>
        <x:v>64</x:v>
      </x:c>
      <x:c r="D7" s="10" t="n">
        <x:f>INDEX('Башни'!C$6:C15,MATCH(A7,'Башни'!$A$6:$A15,0))</x:f>
        <x:v>55</x:v>
      </x:c>
      <x:c r="E7" s="13" t="n">
        <x:f>INDEX('Башни'!H$6:H15,MATCH(A7,'Башни'!$A$6:$A15,0))</x:f>
        <x:v>1</x:v>
      </x:c>
      <x:c r="F7" s="13" t="n">
        <x:f>INDEX('Башни'!D$6:D15,MATCH(A7,'Башни'!$A$6:$A15,0))</x:f>
        <x:v>8</x:v>
      </x:c>
      <x:c r="G7" s="13" t="n">
        <x:f>INDEX('Башни'!E$6:E15,MATCH(A7,'Башни'!$A$6:$A15,0))</x:f>
        <x:v>10</x:v>
      </x:c>
      <x:c r="H7" s="10" t="str">
        <x:v>Плотный огонь, общая подача 0,8 на ствол</x:v>
      </x:c>
    </x:row>
    <x:row r="8" ht="28" customHeight="1">
      <x:c r="A8" s="11" t="str">
        <x:v>Пробой</x:v>
      </x:c>
      <x:c r="B8" s="11" t="str">
        <x:v>Башня</x:v>
      </x:c>
      <x:c r="C8" s="12" t="n">
        <x:f>INDEX('Башни'!B$6:B15,MATCH(A8,'Башни'!$A$6:$A15,0))</x:f>
        <x:v>60</x:v>
      </x:c>
      <x:c r="D8" s="11" t="n">
        <x:f>INDEX('Башни'!C$6:C15,MATCH(A8,'Башни'!$A$6:$A15,0))</x:f>
        <x:v>55</x:v>
      </x:c>
      <x:c r="E8" s="12" t="n">
        <x:f>INDEX('Башни'!H$6:H15,MATCH(A8,'Башни'!$A$6:$A15,0))</x:f>
        <x:v>1</x:v>
      </x:c>
      <x:c r="F8" s="12" t="n">
        <x:f>INDEX('Башни'!D$6:D15,MATCH(A8,'Башни'!$A$6:$A15,0))</x:f>
        <x:v>6</x:v>
      </x:c>
      <x:c r="G8" s="12" t="n">
        <x:f>INDEX('Башни'!E$6:E15,MATCH(A8,'Башни'!$A$6:$A15,0))</x:f>
        <x:v>10</x:v>
      </x:c>
      <x:c r="H8" s="11" t="str">
        <x:v>Прямой участок и несколько целей</x:v>
      </x:c>
    </x:row>
    <x:row r="9" ht="28" customHeight="1">
      <x:c r="A9" s="10" t="str">
        <x:v>Защищённая мортира</x:v>
      </x:c>
      <x:c r="B9" s="10" t="str">
        <x:v>Башня</x:v>
      </x:c>
      <x:c r="C9" s="13" t="n">
        <x:f>INDEX('Башни'!B$6:B15,MATCH(A9,'Башни'!$A$6:$A15,0))</x:f>
        <x:v>99</x:v>
      </x:c>
      <x:c r="D9" s="10" t="n">
        <x:f>INDEX('Башни'!C$6:C15,MATCH(A9,'Башни'!$A$6:$A15,0))</x:f>
        <x:v>55</x:v>
      </x:c>
      <x:c r="E9" s="13" t="n">
        <x:f>INDEX('Башни'!H$6:H15,MATCH(A9,'Башни'!$A$6:$A15,0))</x:f>
        <x:v>1</x:v>
      </x:c>
      <x:c r="F9" s="13" t="n">
        <x:f>INDEX('Башни'!D$6:D15,MATCH(A9,'Башни'!$A$6:$A15,0))</x:f>
        <x:v>9</x:v>
      </x:c>
      <x:c r="G9" s="13" t="n">
        <x:f>INDEX('Башни'!E$6:E15,MATCH(A9,'Башни'!$A$6:$A15,0))</x:f>
        <x:v>10</x:v>
      </x:c>
      <x:c r="H9" s="10" t="str">
        <x:v>Группа врагов, мёртвая зона 6 клеток</x:v>
      </x:c>
    </x:row>
    <x:row r="10" ht="28" customHeight="1">
      <x:c r="A10" s="11" t="str">
        <x:v>Баррикада</x:v>
      </x:c>
      <x:c r="B10" s="11" t="str">
        <x:v>Сооружение</x:v>
      </x:c>
      <x:c r="C10" s="12" t="n">
        <x:f>INDEX('Сооружения'!B$6:B12,MATCH(A10,'Сооружения'!$A$6:$A12,0))</x:f>
        <x:v>16</x:v>
      </x:c>
      <x:c r="D10" s="11" t="n">
        <x:f>INDEX('Сооружения'!C$6:C12,MATCH(A10,'Сооружения'!$A$6:$A12,0))</x:f>
        <x:v>200</x:v>
      </x:c>
      <x:c r="E10" s="12" t="n">
        <x:f>INDEX('Сооружения'!J$6:J12,MATCH(A10,'Сооружения'!$A$6:$A12,0))</x:f>
        <x:v>1</x:v>
      </x:c>
      <x:c r="F10" s="12" t="n">
        <x:f>INDEX('Сооружения'!D$6:D12,MATCH(A10,'Сооружения'!$A$6:$A12,0))</x:f>
        <x:v>2</x:v>
      </x:c>
      <x:c r="G10" s="12" t="n">
        <x:f>INDEX('Сооружения'!E$6:E12,MATCH(A10,'Сооружения'!$A$6:$A12,0))</x:f>
        <x:v>6</x:v>
      </x:c>
      <x:c r="H10" s="11" t="str">
        <x:v>Преграда на пути</x:v>
      </x:c>
    </x:row>
    <x:row r="11" ht="28" customHeight="1">
      <x:c r="A11" s="10" t="str">
        <x:v>Замедлитель</x:v>
      </x:c>
      <x:c r="B11" s="10" t="str">
        <x:v>Сооружение</x:v>
      </x:c>
      <x:c r="C11" s="13" t="n">
        <x:f>INDEX('Сооружения'!B$6:B12,MATCH(A11,'Сооружения'!$A$6:$A12,0))</x:f>
        <x:v>22</x:v>
      </x:c>
      <x:c r="D11" s="10" t="n">
        <x:f>INDEX('Сооружения'!C$6:C12,MATCH(A11,'Сооружения'!$A$6:$A12,0))</x:f>
        <x:v>55</x:v>
      </x:c>
      <x:c r="E11" s="13" t="n">
        <x:f>INDEX('Сооружения'!J$6:J12,MATCH(A11,'Сооружения'!$A$6:$A12,0))</x:f>
        <x:v>1</x:v>
      </x:c>
      <x:c r="F11" s="13" t="n">
        <x:f>INDEX('Сооружения'!D$6:D12,MATCH(A11,'Сооружения'!$A$6:$A12,0))</x:f>
        <x:v>2</x:v>
      </x:c>
      <x:c r="G11" s="13" t="n">
        <x:f>INDEX('Сооружения'!E$6:E12,MATCH(A11,'Сооружения'!$A$6:$A12,0))</x:f>
        <x:v>6</x:v>
      </x:c>
      <x:c r="H11" s="10" t="str">
        <x:v>Замедление ×0,6</x:v>
      </x:c>
    </x:row>
    <x:row r="12" ht="28" customHeight="1">
      <x:c r="A12" s="11" t="str">
        <x:v>Ремонтный пост</x:v>
      </x:c>
      <x:c r="B12" s="11" t="str">
        <x:v>Сооружение</x:v>
      </x:c>
      <x:c r="C12" s="12" t="n">
        <x:f>INDEX('Сооружения'!B$6:B12,MATCH(A12,'Сооружения'!$A$6:$A12,0))</x:f>
        <x:v>65</x:v>
      </x:c>
      <x:c r="D12" s="11" t="n">
        <x:f>INDEX('Сооружения'!C$6:C12,MATCH(A12,'Сооружения'!$A$6:$A12,0))</x:f>
        <x:v>70</x:v>
      </x:c>
      <x:c r="E12" s="12" t="n">
        <x:f>INDEX('Сооружения'!J$6:J12,MATCH(A12,'Сооружения'!$A$6:$A12,0))</x:f>
        <x:v>1</x:v>
      </x:c>
      <x:c r="F12" s="12" t="n">
        <x:f>INDEX('Сооружения'!D$6:D12,MATCH(A12,'Сооружения'!$A$6:$A12,0))</x:f>
        <x:v>3</x:v>
      </x:c>
      <x:c r="G12" s="12" t="n">
        <x:f>INDEX('Сооружения'!E$6:E12,MATCH(A12,'Сооружения'!$A$6:$A12,0))</x:f>
        <x:v>6</x:v>
      </x:c>
      <x:c r="H12" s="11" t="str">
        <x:v>Поддержка одной цели</x:v>
      </x:c>
    </x:row>
    <x:row r="13" ht="28" customHeight="1">
      <x:c r="A13" s="10" t="str">
        <x:v>Генератор штрихов</x:v>
      </x:c>
      <x:c r="B13" s="10" t="str">
        <x:v>Сооружение</x:v>
      </x:c>
      <x:c r="C13" s="13" t="n">
        <x:f>INDEX('Сооружения'!B$6:B12,MATCH(A13,'Сооружения'!$A$6:$A12,0))</x:f>
        <x:v>60</x:v>
      </x:c>
      <x:c r="D13" s="10" t="n">
        <x:f>INDEX('Сооружения'!C$6:C12,MATCH(A13,'Сооружения'!$A$6:$A12,0))</x:f>
        <x:v>80</x:v>
      </x:c>
      <x:c r="E13" s="13" t="n">
        <x:f>INDEX('Сооружения'!J$6:J12,MATCH(A13,'Сооружения'!$A$6:$A12,0))</x:f>
        <x:v>1</x:v>
      </x:c>
      <x:c r="F13" s="13" t="n">
        <x:f>INDEX('Сооружения'!D$6:D12,MATCH(A13,'Сооружения'!$A$6:$A12,0))</x:f>
        <x:v>3</x:v>
      </x:c>
      <x:c r="G13" s="13" t="n">
        <x:f>INDEX('Сооружения'!E$6:E12,MATCH(A13,'Сооружения'!$A$6:$A12,0))</x:f>
        <x:v>6</x:v>
      </x:c>
      <x:c r="H13" s="10" t="str">
        <x:v>Окупается за 5 волн</x:v>
      </x:c>
    </x:row>
    <x:row r="16">
      <x:c r="A16" t="str">
        <x:v>Один экземпляр каждого</x:v>
      </x:c>
      <x:c r="B16" t="n">
        <x:f>SUM(C6:C13)</x:f>
        <x:v>426</x:v>
      </x:c>
    </x:row>
    <x:row r="17">
      <x:c r="A17" t="str">
        <x:v>Стартовые штрихи</x:v>
      </x:c>
      <x:c r="B17" t="n">
        <x:f>'Правила'!B8</x:f>
        <x:v>640</x:v>
      </x:c>
    </x:row>
    <x:row r="18">
      <x:c r="A18" t="str">
        <x:v>Остаток после набора</x:v>
      </x:c>
      <x:c r="B18" t="n">
        <x:f>B17-B16</x:f>
        <x:v>214</x:v>
      </x:c>
    </x:row>
    <x:row r="19">
      <x:c r="A19" t="str">
        <x:v>Всего деталей</x:v>
      </x:c>
      <x:c r="B19" t="n">
        <x:v>54</x:v>
      </x:c>
    </x:row>
    <x:row r="20">
      <x:c r="A20" t="str">
        <x:v>Полная победа, золото</x:v>
      </x:c>
      <x:c r="B20" t="n">
        <x:f>'Правила'!B9*'Правила'!B10+'Правила'!B11</x:f>
        <x:v>94</x:v>
      </x:c>
    </x:row>
    <x:row r="23">
      <x:c r="A23" t="str">
        <x:v>Полный набор стоит 426 штрихов; останется 214 на дополнительные копии и перестройку.</x:v>
      </x:c>
      <x:c r="B23"/>
      <x:c r="C23"/>
      <x:c r="D23"/>
      <x:c r="E23"/>
      <x:c r="F23"/>
      <x:c r="G23"/>
      <x:c r="H23"/>
    </x:row>
    <x:row r="25">
      <x:c r="A25" t="str">
        <x:v>Баланс новых деталей и сооружений требует игровых прогонов; текущие значения вынесены на отдельный лист.</x:v>
      </x:c>
      <x:c r="B25"/>
      <x:c r="C25"/>
      <x:c r="D25"/>
      <x:c r="E25"/>
      <x:c r="F25"/>
      <x:c r="G25"/>
      <x:c r="H25"/>
    </x:row>
  </x:sheetData>
  <x:pageMargins left="0.7" right="0.7" top="0.75" bottom="0.75" header="0.3" footer="0.3"/>
  <x:tableParts count="1">
    <x:tablePart xmlns:r="http://schemas.openxmlformats.org/officeDocument/2006/relationships" r:id="R902b5710e6ca4883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9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27" hidden="0" customWidth="1"/>
    <x:col min="13" max="13" width="27" hidden="0" customWidth="1"/>
    <x:col min="14" max="14" width="27" hidden="0" customWidth="1"/>
    <x:col min="15" max="15" width="27" hidden="0" customWidth="1"/>
    <x:col min="16" max="16" width="27" hidden="0" customWidth="1"/>
    <x:col min="17" max="17" width="33" hidden="0" customWidth="1"/>
    <x:col min="18" max="18" width="17" hidden="0" customWidth="1"/>
    <x:col min="19" max="19" width="6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>
      <x:c r="A2" s="2" t="str">
        <x:v>Сборки башен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>
      <x:c r="A3" s="3" t="str">
        <x:v>DPS учитывает общую подачу. Эффективные HP рассчитаны против обычного прямого урона; фронтальный щит исключён.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46" customHeight="1">
      <x:c r="A5" s="8" t="str">
        <x:v>Рисунок</x:v>
      </x:c>
      <x:c r="B5" s="8" t="str">
        <x:v>Цена, штр.</x:v>
      </x:c>
      <x:c r="C5" s="8" t="str">
        <x:v>HP</x:v>
      </x:c>
      <x:c r="D5" s="8" t="str">
        <x:v>Нагрузка</x:v>
      </x:c>
      <x:c r="E5" s="8" t="str">
        <x:v>Вместимость</x:v>
      </x:c>
      <x:c r="F5" s="8" t="str">
        <x:v>DPS одной цели</x:v>
      </x:c>
      <x:c r="G5" s="8" t="str">
        <x:v>Дальность</x:v>
      </x:c>
      <x:c r="H5" s="8" t="str">
        <x:v>Уровень</x:v>
      </x:c>
      <x:c r="I5" s="8" t="str">
        <x:v>Подача / ствол</x:v>
      </x:c>
      <x:c r="J5" s="8" t="str">
        <x:v>Защита</x:v>
      </x:c>
      <x:c r="K5" s="8" t="str">
        <x:v>Эфф. HP</x:v>
      </x:c>
      <x:c r="L5" s="8" t="str">
        <x:v>Рамка</x:v>
      </x:c>
      <x:c r="M5" s="8" t="str">
        <x:v>Корпус</x:v>
      </x:c>
      <x:c r="N5" s="8" t="str">
        <x:v>Броня</x:v>
      </x:c>
      <x:c r="O5" s="8" t="str">
        <x:v>Подача</x:v>
      </x:c>
      <x:c r="P5" s="8" t="str">
        <x:v>Поворот</x:v>
      </x:c>
      <x:c r="Q5" s="8" t="str">
        <x:v>Оружие</x:v>
      </x:c>
      <x:c r="R5" s="8" t="str">
        <x:v>Стволов</x:v>
      </x:c>
      <x:c r="S5" s="8" t="str">
        <x:v>Роль</x:v>
      </x:c>
    </x:row>
    <x:row r="6" ht="28" customHeight="1">
      <x:c r="A6" s="11" t="str">
        <x:v>Дозор</x:v>
      </x:c>
      <x:c r="B6" s="12" t="n">
        <x:f>ROUNDUP(INDEX('Детали основы'!$F$6:$F$19,MATCH(L6,'Детали основы'!$A$6:$A$19,0))+INDEX('Детали основы'!$F$6:$F$19,MATCH(M6,'Детали основы'!$A$6:$A$19,0))+INDEX('Детали основы'!$F$6:$F$19,MATCH(N6,'Детали основы'!$A$6:$A$19,0))+INDEX('Детали основы'!$F$6:$F$19,MATCH(O6,'Детали основы'!$A$6:$A$19,0))+INDEX('Детали основы'!$F$6:$F$19,MATCH(P6,'Детали основы'!$A$6:$A$19,0))+INDEX('Оружие расчёт'!J$6:J$16,MATCH(Q6,'Оружие расчёт'!$A$6:$A$16,0))*R6,0)</x:f>
        <x:v>40</x:v>
      </x:c>
      <x:c r="C6" s="11" t="n">
        <x:f>INDEX('Детали основы'!$H$6:$H$19,MATCH(L6,'Детали основы'!$A$6:$A$19,0))*INDEX('Детали основы'!$I$6:$I$19,MATCH(M6,'Детали основы'!$A$6:$A$19,0))</x:f>
        <x:v>55</x:v>
      </x:c>
      <x:c r="D6" s="12" t="n">
        <x:f>INDEX('Детали основы'!$G$6:$G$19,MATCH(L6,'Детали основы'!$A$6:$A$19,0))+INDEX('Детали основы'!$G$6:$G$19,MATCH(M6,'Детали основы'!$A$6:$A$19,0))+INDEX('Детали основы'!$G$6:$G$19,MATCH(N6,'Детали основы'!$A$6:$A$19,0))+INDEX('Детали основы'!$G$6:$G$19,MATCH(O6,'Детали основы'!$A$6:$A$19,0))+INDEX('Детали основы'!$G$6:$G$19,MATCH(P6,'Детали основы'!$A$6:$A$19,0))+INDEX('Оружие расчёт'!K$6:K$16,MATCH(Q6,'Оружие расчёт'!$A$6:$A$16,0))*R6</x:f>
        <x:v>4</x:v>
      </x:c>
      <x:c r="E6" s="12" t="n">
        <x:f>INDEX('Детали основы'!$J$6:$J$19,MATCH(L6,'Детали основы'!$A$6:$A$19,0))+INDEX('Детали основы'!$K$6:$K$19,MATCH(M6,'Детали основы'!$A$6:$A$19,0))</x:f>
        <x:v>10</x:v>
      </x:c>
      <x:c r="F6" s="11" t="n">
        <x:f>INDEX('Оружие расчёт'!G$6:G$16,MATCH(Q6,'Оружие расчёт'!$A$6:$A$16,0))*R6*I6</x:f>
        <x:v>28.571428571428573</x:v>
      </x:c>
      <x:c r="G6" s="11" t="n">
        <x:f>INDEX('Оружие расчёт'!H$6:H$16,MATCH(Q6,'Оружие расчёт'!$A$6:$A$16,0))</x:f>
        <x:v>8</x:v>
      </x:c>
      <x:c r="H6" s="12" t="n">
        <x:f>MAX(INDEX('Детали основы'!$D$6:$D$19,MATCH(L6,'Детали основы'!$A$6:$A$19,0)),INDEX('Детали основы'!$D$6:$D$19,MATCH(M6,'Детали основы'!$A$6:$A$19,0)),INDEX('Детали основы'!$D$6:$D$19,MATCH(N6,'Детали основы'!$A$6:$A$19,0)),INDEX('Детали основы'!$D$6:$D$19,MATCH(O6,'Детали основы'!$A$6:$A$19,0)),INDEX('Детали основы'!$D$6:$D$19,MATCH(P6,'Детали основы'!$A$6:$A$19,0)),INDEX('Оружие расчёт'!L$6:L$16,MATCH(Q6,'Оружие расчёт'!$A$6:$A$16,0)))</x:f>
        <x:v>1</x:v>
      </x:c>
      <x:c r="I6" s="11" t="n">
        <x:f>MIN('Правила'!B14,INDEX('Детали основы'!$N$6:$N$19,MATCH(O6,'Детали основы'!$A$6:$A$19,0)),INDEX('Детали основы'!$M$6:$M$19,MATCH(L6,'Детали основы'!$A$6:$A$19,0))*INDEX('Детали основы'!$N$6:$N$19,MATCH(O6,'Детали основы'!$A$6:$A$19,0))/R6)</x:f>
        <x:v>1</x:v>
      </x:c>
      <x:c r="J6" s="11" t="n">
        <x:f>INDEX('Детали основы'!$O$6:$O$19,MATCH(N6,'Детали основы'!$A$6:$A$19,0))</x:f>
        <x:v>0</x:v>
      </x:c>
      <x:c r="K6" s="11" t="n">
        <x:f>C6/(1-J6)</x:f>
        <x:v>55</x:v>
      </x:c>
      <x:c r="L6" s="11" t="str">
        <x:v>frame.standard</x:v>
      </x:c>
      <x:c r="M6" s="11" t="str">
        <x:v>hull.standard</x:v>
      </x:c>
      <x:c r="N6" s="11" t="str">
        <x:v>armor.none</x:v>
      </x:c>
      <x:c r="O6" s="11" t="str">
        <x:v>feed.standard</x:v>
      </x:c>
      <x:c r="P6" s="11" t="str">
        <x:v>turn.standard</x:v>
      </x:c>
      <x:c r="Q6" s="11" t="str">
        <x:v>Пулемёт</x:v>
      </x:c>
      <x:c r="R6" s="12" t="n">
        <x:v>1</x:v>
      </x:c>
      <x:c r="S6" s="11" t="str">
        <x:v>Дешёвая точечная оборона</x:v>
      </x:c>
    </x:row>
    <x:row r="7" ht="28" customHeight="1">
      <x:c r="A7" s="10" t="str">
        <x:v>Двойной дозор</x:v>
      </x:c>
      <x:c r="B7" s="13" t="n">
        <x:f>ROUNDUP(INDEX('Детали основы'!$F$6:$F$19,MATCH(L7,'Детали основы'!$A$6:$A$19,0))+INDEX('Детали основы'!$F$6:$F$19,MATCH(M7,'Детали основы'!$A$6:$A$19,0))+INDEX('Детали основы'!$F$6:$F$19,MATCH(N7,'Детали основы'!$A$6:$A$19,0))+INDEX('Детали основы'!$F$6:$F$19,MATCH(O7,'Детали основы'!$A$6:$A$19,0))+INDEX('Детали основы'!$F$6:$F$19,MATCH(P7,'Детали основы'!$A$6:$A$19,0))+INDEX('Оружие расчёт'!J$6:J$16,MATCH(Q7,'Оружие расчёт'!$A$6:$A$16,0))*R7,0)</x:f>
        <x:v>64</x:v>
      </x:c>
      <x:c r="C7" s="10" t="n">
        <x:f>INDEX('Детали основы'!$H$6:$H$19,MATCH(L7,'Детали основы'!$A$6:$A$19,0))*INDEX('Детали основы'!$I$6:$I$19,MATCH(M7,'Детали основы'!$A$6:$A$19,0))</x:f>
        <x:v>55</x:v>
      </x:c>
      <x:c r="D7" s="13" t="n">
        <x:f>INDEX('Детали основы'!$G$6:$G$19,MATCH(L7,'Детали основы'!$A$6:$A$19,0))+INDEX('Детали основы'!$G$6:$G$19,MATCH(M7,'Детали основы'!$A$6:$A$19,0))+INDEX('Детали основы'!$G$6:$G$19,MATCH(N7,'Детали основы'!$A$6:$A$19,0))+INDEX('Детали основы'!$G$6:$G$19,MATCH(O7,'Детали основы'!$A$6:$A$19,0))+INDEX('Детали основы'!$G$6:$G$19,MATCH(P7,'Детали основы'!$A$6:$A$19,0))+INDEX('Оружие расчёт'!K$6:K$16,MATCH(Q7,'Оружие расчёт'!$A$6:$A$16,0))*R7</x:f>
        <x:v>8</x:v>
      </x:c>
      <x:c r="E7" s="13" t="n">
        <x:f>INDEX('Детали основы'!$J$6:$J$19,MATCH(L7,'Детали основы'!$A$6:$A$19,0))+INDEX('Детали основы'!$K$6:$K$19,MATCH(M7,'Детали основы'!$A$6:$A$19,0))</x:f>
        <x:v>10</x:v>
      </x:c>
      <x:c r="F7" s="10" t="n">
        <x:f>INDEX('Оружие расчёт'!G$6:G$16,MATCH(Q7,'Оружие расчёт'!$A$6:$A$16,0))*R7*I7</x:f>
        <x:v>45.71428571428572</x:v>
      </x:c>
      <x:c r="G7" s="10" t="n">
        <x:f>INDEX('Оружие расчёт'!H$6:H$16,MATCH(Q7,'Оружие расчёт'!$A$6:$A$16,0))</x:f>
        <x:v>8</x:v>
      </x:c>
      <x:c r="H7" s="13" t="n">
        <x:f>MAX(INDEX('Детали основы'!$D$6:$D$19,MATCH(L7,'Детали основы'!$A$6:$A$19,0)),INDEX('Детали основы'!$D$6:$D$19,MATCH(M7,'Детали основы'!$A$6:$A$19,0)),INDEX('Детали основы'!$D$6:$D$19,MATCH(N7,'Детали основы'!$A$6:$A$19,0)),INDEX('Детали основы'!$D$6:$D$19,MATCH(O7,'Детали основы'!$A$6:$A$19,0)),INDEX('Детали основы'!$D$6:$D$19,MATCH(P7,'Детали основы'!$A$6:$A$19,0)),INDEX('Оружие расчёт'!L$6:L$16,MATCH(Q7,'Оружие расчёт'!$A$6:$A$16,0)))</x:f>
        <x:v>1</x:v>
      </x:c>
      <x:c r="I7" s="10" t="n">
        <x:f>MIN('Правила'!B14,INDEX('Детали основы'!$N$6:$N$19,MATCH(O7,'Детали основы'!$A$6:$A$19,0)),INDEX('Детали основы'!$M$6:$M$19,MATCH(L7,'Детали основы'!$A$6:$A$19,0))*INDEX('Детали основы'!$N$6:$N$19,MATCH(O7,'Детали основы'!$A$6:$A$19,0))/R7)</x:f>
        <x:v>0.8</x:v>
      </x:c>
      <x:c r="J7" s="10" t="n">
        <x:f>INDEX('Детали основы'!$O$6:$O$19,MATCH(N7,'Детали основы'!$A$6:$A$19,0))</x:f>
        <x:v>0</x:v>
      </x:c>
      <x:c r="K7" s="10" t="n">
        <x:f>C7/(1-J7)</x:f>
        <x:v>55</x:v>
      </x:c>
      <x:c r="L7" s="10" t="str">
        <x:v>frame.standard</x:v>
      </x:c>
      <x:c r="M7" s="10" t="str">
        <x:v>hull.standard</x:v>
      </x:c>
      <x:c r="N7" s="10" t="str">
        <x:v>armor.none</x:v>
      </x:c>
      <x:c r="O7" s="10" t="str">
        <x:v>feed.standard</x:v>
      </x:c>
      <x:c r="P7" s="10" t="str">
        <x:v>turn.standard</x:v>
      </x:c>
      <x:c r="Q7" s="10" t="str">
        <x:v>Пулемёт</x:v>
      </x:c>
      <x:c r="R7" s="13" t="n">
        <x:v>2</x:v>
      </x:c>
      <x:c r="S7" s="10" t="str">
        <x:v>Плотный огонь, общая подача 0,8 на ствол</x:v>
      </x:c>
    </x:row>
    <x:row r="8" ht="28" customHeight="1">
      <x:c r="A8" s="11" t="str">
        <x:v>Пробой</x:v>
      </x:c>
      <x:c r="B8" s="12" t="n">
        <x:f>ROUNDUP(INDEX('Детали основы'!$F$6:$F$19,MATCH(L8,'Детали основы'!$A$6:$A$19,0))+INDEX('Детали основы'!$F$6:$F$19,MATCH(M8,'Детали основы'!$A$6:$A$19,0))+INDEX('Детали основы'!$F$6:$F$19,MATCH(N8,'Детали основы'!$A$6:$A$19,0))+INDEX('Детали основы'!$F$6:$F$19,MATCH(O8,'Детали основы'!$A$6:$A$19,0))+INDEX('Детали основы'!$F$6:$F$19,MATCH(P8,'Детали основы'!$A$6:$A$19,0))+INDEX('Оружие расчёт'!J$6:J$16,MATCH(Q8,'Оружие расчёт'!$A$6:$A$16,0))*R8,0)</x:f>
        <x:v>60</x:v>
      </x:c>
      <x:c r="C8" s="11" t="n">
        <x:f>INDEX('Детали основы'!$H$6:$H$19,MATCH(L8,'Детали основы'!$A$6:$A$19,0))*INDEX('Детали основы'!$I$6:$I$19,MATCH(M8,'Детали основы'!$A$6:$A$19,0))</x:f>
        <x:v>55</x:v>
      </x:c>
      <x:c r="D8" s="12" t="n">
        <x:f>INDEX('Детали основы'!$G$6:$G$19,MATCH(L8,'Детали основы'!$A$6:$A$19,0))+INDEX('Детали основы'!$G$6:$G$19,MATCH(M8,'Детали основы'!$A$6:$A$19,0))+INDEX('Детали основы'!$G$6:$G$19,MATCH(N8,'Детали основы'!$A$6:$A$19,0))+INDEX('Детали основы'!$G$6:$G$19,MATCH(O8,'Детали основы'!$A$6:$A$19,0))+INDEX('Детали основы'!$G$6:$G$19,MATCH(P8,'Детали основы'!$A$6:$A$19,0))+INDEX('Оружие расчёт'!K$6:K$16,MATCH(Q8,'Оружие расчёт'!$A$6:$A$16,0))*R8</x:f>
        <x:v>6</x:v>
      </x:c>
      <x:c r="E8" s="12" t="n">
        <x:f>INDEX('Детали основы'!$J$6:$J$19,MATCH(L8,'Детали основы'!$A$6:$A$19,0))+INDEX('Детали основы'!$K$6:$K$19,MATCH(M8,'Детали основы'!$A$6:$A$19,0))</x:f>
        <x:v>10</x:v>
      </x:c>
      <x:c r="F8" s="11" t="n">
        <x:f>INDEX('Оружие расчёт'!G$6:G$16,MATCH(Q8,'Оружие расчёт'!$A$6:$A$16,0))*R8*I8</x:f>
        <x:v>20</x:v>
      </x:c>
      <x:c r="G8" s="11" t="n">
        <x:f>INDEX('Оружие расчёт'!H$6:H$16,MATCH(Q8,'Оружие расчёт'!$A$6:$A$16,0))</x:f>
        <x:v>12.5</x:v>
      </x:c>
      <x:c r="H8" s="12" t="n">
        <x:f>MAX(INDEX('Детали основы'!$D$6:$D$19,MATCH(L8,'Детали основы'!$A$6:$A$19,0)),INDEX('Детали основы'!$D$6:$D$19,MATCH(M8,'Детали основы'!$A$6:$A$19,0)),INDEX('Детали основы'!$D$6:$D$19,MATCH(N8,'Детали основы'!$A$6:$A$19,0)),INDEX('Детали основы'!$D$6:$D$19,MATCH(O8,'Детали основы'!$A$6:$A$19,0)),INDEX('Детали основы'!$D$6:$D$19,MATCH(P8,'Детали основы'!$A$6:$A$19,0)),INDEX('Оружие расчёт'!L$6:L$16,MATCH(Q8,'Оружие расчёт'!$A$6:$A$16,0)))</x:f>
        <x:v>1</x:v>
      </x:c>
      <x:c r="I8" s="11" t="n">
        <x:f>MIN('Правила'!B14,INDEX('Детали основы'!$N$6:$N$19,MATCH(O8,'Детали основы'!$A$6:$A$19,0)),INDEX('Детали основы'!$M$6:$M$19,MATCH(L8,'Детали основы'!$A$6:$A$19,0))*INDEX('Детали основы'!$N$6:$N$19,MATCH(O8,'Детали основы'!$A$6:$A$19,0))/R8)</x:f>
        <x:v>1</x:v>
      </x:c>
      <x:c r="J8" s="11" t="n">
        <x:f>INDEX('Детали основы'!$O$6:$O$19,MATCH(N8,'Детали основы'!$A$6:$A$19,0))</x:f>
        <x:v>0</x:v>
      </x:c>
      <x:c r="K8" s="11" t="n">
        <x:f>C8/(1-J8)</x:f>
        <x:v>55</x:v>
      </x:c>
      <x:c r="L8" s="11" t="str">
        <x:v>frame.standard</x:v>
      </x:c>
      <x:c r="M8" s="11" t="str">
        <x:v>hull.standard</x:v>
      </x:c>
      <x:c r="N8" s="11" t="str">
        <x:v>armor.none</x:v>
      </x:c>
      <x:c r="O8" s="11" t="str">
        <x:v>feed.standard</x:v>
      </x:c>
      <x:c r="P8" s="11" t="str">
        <x:v>turn.standard</x:v>
      </x:c>
      <x:c r="Q8" s="11" t="str">
        <x:v>Пробивающая пушка</x:v>
      </x:c>
      <x:c r="R8" s="12" t="n">
        <x:v>1</x:v>
      </x:c>
      <x:c r="S8" s="11" t="str">
        <x:v>Прямой участок и несколько целей</x:v>
      </x:c>
    </x:row>
    <x:row r="9" ht="28" customHeight="1">
      <x:c r="A9" s="10" t="str">
        <x:v>Защищённая мортира</x:v>
      </x:c>
      <x:c r="B9" s="13" t="n">
        <x:f>ROUNDUP(INDEX('Детали основы'!$F$6:$F$19,MATCH(L9,'Детали основы'!$A$6:$A$19,0))+INDEX('Детали основы'!$F$6:$F$19,MATCH(M9,'Детали основы'!$A$6:$A$19,0))+INDEX('Детали основы'!$F$6:$F$19,MATCH(N9,'Детали основы'!$A$6:$A$19,0))+INDEX('Детали основы'!$F$6:$F$19,MATCH(O9,'Детали основы'!$A$6:$A$19,0))+INDEX('Детали основы'!$F$6:$F$19,MATCH(P9,'Детали основы'!$A$6:$A$19,0))+INDEX('Оружие расчёт'!J$6:J$16,MATCH(Q9,'Оружие расчёт'!$A$6:$A$16,0))*R9,0)</x:f>
        <x:v>99</x:v>
      </x:c>
      <x:c r="C9" s="10" t="n">
        <x:f>INDEX('Детали основы'!$H$6:$H$19,MATCH(L9,'Детали основы'!$A$6:$A$19,0))*INDEX('Детали основы'!$I$6:$I$19,MATCH(M9,'Детали основы'!$A$6:$A$19,0))</x:f>
        <x:v>55</x:v>
      </x:c>
      <x:c r="D9" s="13" t="n">
        <x:f>INDEX('Детали основы'!$G$6:$G$19,MATCH(L9,'Детали основы'!$A$6:$A$19,0))+INDEX('Детали основы'!$G$6:$G$19,MATCH(M9,'Детали основы'!$A$6:$A$19,0))+INDEX('Детали основы'!$G$6:$G$19,MATCH(N9,'Детали основы'!$A$6:$A$19,0))+INDEX('Детали основы'!$G$6:$G$19,MATCH(O9,'Детали основы'!$A$6:$A$19,0))+INDEX('Детали основы'!$G$6:$G$19,MATCH(P9,'Детали основы'!$A$6:$A$19,0))+INDEX('Оружие расчёт'!K$6:K$16,MATCH(Q9,'Оружие расчёт'!$A$6:$A$16,0))*R9</x:f>
        <x:v>9</x:v>
      </x:c>
      <x:c r="E9" s="13" t="n">
        <x:f>INDEX('Детали основы'!$J$6:$J$19,MATCH(L9,'Детали основы'!$A$6:$A$19,0))+INDEX('Детали основы'!$K$6:$K$19,MATCH(M9,'Детали основы'!$A$6:$A$19,0))</x:f>
        <x:v>10</x:v>
      </x:c>
      <x:c r="F9" s="10" t="n">
        <x:f>INDEX('Оружие расчёт'!G$6:G$16,MATCH(Q9,'Оружие расчёт'!$A$6:$A$16,0))*R9*I9</x:f>
        <x:v>14.73684210526316</x:v>
      </x:c>
      <x:c r="G9" s="10" t="n">
        <x:f>INDEX('Оружие расчёт'!H$6:H$16,MATCH(Q9,'Оружие расчёт'!$A$6:$A$16,0))</x:f>
        <x:v>18</x:v>
      </x:c>
      <x:c r="H9" s="13" t="n">
        <x:f>MAX(INDEX('Детали основы'!$D$6:$D$19,MATCH(L9,'Детали основы'!$A$6:$A$19,0)),INDEX('Детали основы'!$D$6:$D$19,MATCH(M9,'Детали основы'!$A$6:$A$19,0)),INDEX('Детали основы'!$D$6:$D$19,MATCH(N9,'Детали основы'!$A$6:$A$19,0)),INDEX('Детали основы'!$D$6:$D$19,MATCH(O9,'Детали основы'!$A$6:$A$19,0)),INDEX('Детали основы'!$D$6:$D$19,MATCH(P9,'Детали основы'!$A$6:$A$19,0)),INDEX('Оружие расчёт'!L$6:L$16,MATCH(Q9,'Оружие расчёт'!$A$6:$A$16,0)))</x:f>
        <x:v>1</x:v>
      </x:c>
      <x:c r="I9" s="10" t="n">
        <x:f>MIN('Правила'!B14,INDEX('Детали основы'!$N$6:$N$19,MATCH(O9,'Детали основы'!$A$6:$A$19,0)),INDEX('Детали основы'!$M$6:$M$19,MATCH(L9,'Детали основы'!$A$6:$A$19,0))*INDEX('Детали основы'!$N$6:$N$19,MATCH(O9,'Детали основы'!$A$6:$A$19,0))/R9)</x:f>
        <x:v>1</x:v>
      </x:c>
      <x:c r="J9" s="10" t="n">
        <x:f>INDEX('Детали основы'!$O$6:$O$19,MATCH(N9,'Детали основы'!$A$6:$A$19,0))</x:f>
        <x:v>0.3</x:v>
      </x:c>
      <x:c r="K9" s="10" t="n">
        <x:f>C9/(1-J9)</x:f>
        <x:v>78.57142857142857</x:v>
      </x:c>
      <x:c r="L9" s="10" t="str">
        <x:v>frame.standard</x:v>
      </x:c>
      <x:c r="M9" s="10" t="str">
        <x:v>hull.standard</x:v>
      </x:c>
      <x:c r="N9" s="10" t="str">
        <x:v>armor.plate</x:v>
      </x:c>
      <x:c r="O9" s="10" t="str">
        <x:v>feed.standard</x:v>
      </x:c>
      <x:c r="P9" s="10" t="str">
        <x:v>turn.standard</x:v>
      </x:c>
      <x:c r="Q9" s="10" t="str">
        <x:v>Мортира</x:v>
      </x:c>
      <x:c r="R9" s="13" t="n">
        <x:v>1</x:v>
      </x:c>
      <x:c r="S9" s="10" t="str">
        <x:v>Группа врагов, мёртвая зона 6 клеток</x:v>
      </x:c>
    </x:row>
    <x:row r="10" ht="28" customHeight="1">
      <x:c r="A10" s="11" t="str">
        <x:v>Ближний дозор</x:v>
      </x:c>
      <x:c r="B10" s="12" t="n">
        <x:f>ROUNDUP(INDEX('Детали основы'!$F$6:$F$19,MATCH(L10,'Детали основы'!$A$6:$A$19,0))+INDEX('Детали основы'!$F$6:$F$19,MATCH(M10,'Детали основы'!$A$6:$A$19,0))+INDEX('Детали основы'!$F$6:$F$19,MATCH(N10,'Детали основы'!$A$6:$A$19,0))+INDEX('Детали основы'!$F$6:$F$19,MATCH(O10,'Детали основы'!$A$6:$A$19,0))+INDEX('Детали основы'!$F$6:$F$19,MATCH(P10,'Детали основы'!$A$6:$A$19,0))+INDEX('Оружие расчёт'!J$6:J$16,MATCH(Q10,'Оружие расчёт'!$A$6:$A$16,0))*R10,0)</x:f>
        <x:v>36</x:v>
      </x:c>
      <x:c r="C10" s="11" t="n">
        <x:f>INDEX('Детали основы'!$H$6:$H$19,MATCH(L10,'Детали основы'!$A$6:$A$19,0))*INDEX('Детали основы'!$I$6:$I$19,MATCH(M10,'Детали основы'!$A$6:$A$19,0))</x:f>
        <x:v>55</x:v>
      </x:c>
      <x:c r="D10" s="12" t="n">
        <x:f>INDEX('Детали основы'!$G$6:$G$19,MATCH(L10,'Детали основы'!$A$6:$A$19,0))+INDEX('Детали основы'!$G$6:$G$19,MATCH(M10,'Детали основы'!$A$6:$A$19,0))+INDEX('Детали основы'!$G$6:$G$19,MATCH(N10,'Детали основы'!$A$6:$A$19,0))+INDEX('Детали основы'!$G$6:$G$19,MATCH(O10,'Детали основы'!$A$6:$A$19,0))+INDEX('Детали основы'!$G$6:$G$19,MATCH(P10,'Детали основы'!$A$6:$A$19,0))+INDEX('Оружие расчёт'!K$6:K$16,MATCH(Q10,'Оружие расчёт'!$A$6:$A$16,0))*R10</x:f>
        <x:v>3</x:v>
      </x:c>
      <x:c r="E10" s="12" t="n">
        <x:f>INDEX('Детали основы'!$J$6:$J$19,MATCH(L10,'Детали основы'!$A$6:$A$19,0))+INDEX('Детали основы'!$K$6:$K$19,MATCH(M10,'Детали основы'!$A$6:$A$19,0))</x:f>
        <x:v>10</x:v>
      </x:c>
      <x:c r="F10" s="11" t="n">
        <x:f>INDEX('Оружие расчёт'!G$6:G$16,MATCH(Q10,'Оружие расчёт'!$A$6:$A$16,0))*R10*I10</x:f>
        <x:v>30.25210084033614</x:v>
      </x:c>
      <x:c r="G10" s="11" t="n">
        <x:f>INDEX('Оружие расчёт'!H$6:H$16,MATCH(Q10,'Оружие расчёт'!$A$6:$A$16,0))</x:f>
        <x:v>6.4</x:v>
      </x:c>
      <x:c r="H10" s="12" t="n">
        <x:f>MAX(INDEX('Детали основы'!$D$6:$D$19,MATCH(L10,'Детали основы'!$A$6:$A$19,0)),INDEX('Детали основы'!$D$6:$D$19,MATCH(M10,'Детали основы'!$A$6:$A$19,0)),INDEX('Детали основы'!$D$6:$D$19,MATCH(N10,'Детали основы'!$A$6:$A$19,0)),INDEX('Детали основы'!$D$6:$D$19,MATCH(O10,'Детали основы'!$A$6:$A$19,0)),INDEX('Детали основы'!$D$6:$D$19,MATCH(P10,'Детали основы'!$A$6:$A$19,0)),INDEX('Оружие расчёт'!L$6:L$16,MATCH(Q10,'Оружие расчёт'!$A$6:$A$16,0)))</x:f>
        <x:v>2</x:v>
      </x:c>
      <x:c r="I10" s="11" t="n">
        <x:f>MIN('Правила'!B14,INDEX('Детали основы'!$N$6:$N$19,MATCH(O10,'Детали основы'!$A$6:$A$19,0)),INDEX('Детали основы'!$M$6:$M$19,MATCH(L10,'Детали основы'!$A$6:$A$19,0))*INDEX('Детали основы'!$N$6:$N$19,MATCH(O10,'Детали основы'!$A$6:$A$19,0))/R10)</x:f>
        <x:v>1</x:v>
      </x:c>
      <x:c r="J10" s="11" t="n">
        <x:f>INDEX('Детали основы'!$O$6:$O$19,MATCH(N10,'Детали основы'!$A$6:$A$19,0))</x:f>
        <x:v>0</x:v>
      </x:c>
      <x:c r="K10" s="11" t="n">
        <x:f>C10/(1-J10)</x:f>
        <x:v>55</x:v>
      </x:c>
      <x:c r="L10" s="11" t="str">
        <x:v>frame.standard</x:v>
      </x:c>
      <x:c r="M10" s="11" t="str">
        <x:v>hull.standard</x:v>
      </x:c>
      <x:c r="N10" s="11" t="str">
        <x:v>armor.none</x:v>
      </x:c>
      <x:c r="O10" s="11" t="str">
        <x:v>feed.standard</x:v>
      </x:c>
      <x:c r="P10" s="11" t="str">
        <x:v>turn.standard</x:v>
      </x:c>
      <x:c r="Q10" s="11" t="str">
        <x:v>Короткий дозор</x:v>
      </x:c>
      <x:c r="R10" s="12" t="n">
        <x:v>1</x:v>
      </x:c>
      <x:c r="S10" s="11" t="str">
        <x:v>Ближе и дешевле, выше темп</x:v>
      </x:c>
    </x:row>
    <x:row r="11" ht="28" customHeight="1">
      <x:c r="A11" s="10" t="str">
        <x:v>Дальний пробой</x:v>
      </x:c>
      <x:c r="B11" s="13" t="n">
        <x:f>ROUNDUP(INDEX('Детали основы'!$F$6:$F$19,MATCH(L11,'Детали основы'!$A$6:$A$19,0))+INDEX('Детали основы'!$F$6:$F$19,MATCH(M11,'Детали основы'!$A$6:$A$19,0))+INDEX('Детали основы'!$F$6:$F$19,MATCH(N11,'Детали основы'!$A$6:$A$19,0))+INDEX('Детали основы'!$F$6:$F$19,MATCH(O11,'Детали основы'!$A$6:$A$19,0))+INDEX('Детали основы'!$F$6:$F$19,MATCH(P11,'Детали основы'!$A$6:$A$19,0))+INDEX('Оружие расчёт'!J$6:J$16,MATCH(Q11,'Оружие расчёт'!$A$6:$A$16,0))*R11,0)</x:f>
        <x:v>84</x:v>
      </x:c>
      <x:c r="C11" s="10" t="n">
        <x:f>INDEX('Детали основы'!$H$6:$H$19,MATCH(L11,'Детали основы'!$A$6:$A$19,0))*INDEX('Детали основы'!$I$6:$I$19,MATCH(M11,'Детали основы'!$A$6:$A$19,0))</x:f>
        <x:v>55</x:v>
      </x:c>
      <x:c r="D11" s="13" t="n">
        <x:f>INDEX('Детали основы'!$G$6:$G$19,MATCH(L11,'Детали основы'!$A$6:$A$19,0))+INDEX('Детали основы'!$G$6:$G$19,MATCH(M11,'Детали основы'!$A$6:$A$19,0))+INDEX('Детали основы'!$G$6:$G$19,MATCH(N11,'Детали основы'!$A$6:$A$19,0))+INDEX('Детали основы'!$G$6:$G$19,MATCH(O11,'Детали основы'!$A$6:$A$19,0))+INDEX('Детали основы'!$G$6:$G$19,MATCH(P11,'Детали основы'!$A$6:$A$19,0))+INDEX('Оружие расчёт'!K$6:K$16,MATCH(Q11,'Оружие расчёт'!$A$6:$A$16,0))*R11</x:f>
        <x:v>9</x:v>
      </x:c>
      <x:c r="E11" s="13" t="n">
        <x:f>INDEX('Детали основы'!$J$6:$J$19,MATCH(L11,'Детали основы'!$A$6:$A$19,0))+INDEX('Детали основы'!$K$6:$K$19,MATCH(M11,'Детали основы'!$A$6:$A$19,0))</x:f>
        <x:v>16</x:v>
      </x:c>
      <x:c r="F11" s="10" t="n">
        <x:f>INDEX('Оружие расчёт'!G$6:G$16,MATCH(Q11,'Оружие расчёт'!$A$6:$A$16,0))*R11*I11</x:f>
        <x:v>18.333333333333336</x:v>
      </x:c>
      <x:c r="G11" s="10" t="n">
        <x:f>INDEX('Оружие расчёт'!H$6:H$16,MATCH(Q11,'Оружие расчёт'!$A$6:$A$16,0))</x:f>
        <x:v>17.96875</x:v>
      </x:c>
      <x:c r="H11" s="13" t="n">
        <x:f>MAX(INDEX('Детали основы'!$D$6:$D$19,MATCH(L11,'Детали основы'!$A$6:$A$19,0)),INDEX('Детали основы'!$D$6:$D$19,MATCH(M11,'Детали основы'!$A$6:$A$19,0)),INDEX('Детали основы'!$D$6:$D$19,MATCH(N11,'Детали основы'!$A$6:$A$19,0)),INDEX('Детали основы'!$D$6:$D$19,MATCH(O11,'Детали основы'!$A$6:$A$19,0)),INDEX('Детали основы'!$D$6:$D$19,MATCH(P11,'Детали основы'!$A$6:$A$19,0)),INDEX('Оружие расчёт'!L$6:L$16,MATCH(Q11,'Оружие расчёт'!$A$6:$A$16,0)))</x:f>
        <x:v>4</x:v>
      </x:c>
      <x:c r="I11" s="10" t="n">
        <x:f>MIN('Правила'!B14,INDEX('Детали основы'!$N$6:$N$19,MATCH(O11,'Детали основы'!$A$6:$A$19,0)),INDEX('Детали основы'!$M$6:$M$19,MATCH(L11,'Детали основы'!$A$6:$A$19,0))*INDEX('Детали основы'!$N$6:$N$19,MATCH(O11,'Детали основы'!$A$6:$A$19,0))/R11)</x:f>
        <x:v>1</x:v>
      </x:c>
      <x:c r="J11" s="10" t="n">
        <x:f>INDEX('Детали основы'!$O$6:$O$19,MATCH(N11,'Детали основы'!$A$6:$A$19,0))</x:f>
        <x:v>0</x:v>
      </x:c>
      <x:c r="K11" s="10" t="n">
        <x:f>C11/(1-J11)</x:f>
        <x:v>55</x:v>
      </x:c>
      <x:c r="L11" s="10" t="str">
        <x:v>frame.precision</x:v>
      </x:c>
      <x:c r="M11" s="10" t="str">
        <x:v>hull.standard</x:v>
      </x:c>
      <x:c r="N11" s="10" t="str">
        <x:v>armor.none</x:v>
      </x:c>
      <x:c r="O11" s="10" t="str">
        <x:v>feed.standard</x:v>
      </x:c>
      <x:c r="P11" s="10" t="str">
        <x:v>turn.standard</x:v>
      </x:c>
      <x:c r="Q11" s="10" t="str">
        <x:v>Дальний пробой</x:v>
      </x:c>
      <x:c r="R11" s="13" t="n">
        <x:v>1</x:v>
      </x:c>
      <x:c r="S11" s="10" t="str">
        <x:v>Дальность за меньший темп</x:v>
      </x:c>
    </x:row>
    <x:row r="12" ht="28" customHeight="1">
      <x:c r="A12" s="11" t="str">
        <x:v>Очередь дозора</x:v>
      </x:c>
      <x:c r="B12" s="12" t="n">
        <x:f>ROUNDUP(INDEX('Детали основы'!$F$6:$F$19,MATCH(L12,'Детали основы'!$A$6:$A$19,0))+INDEX('Детали основы'!$F$6:$F$19,MATCH(M12,'Детали основы'!$A$6:$A$19,0))+INDEX('Детали основы'!$F$6:$F$19,MATCH(N12,'Детали основы'!$A$6:$A$19,0))+INDEX('Детали основы'!$F$6:$F$19,MATCH(O12,'Детали основы'!$A$6:$A$19,0))+INDEX('Детали основы'!$F$6:$F$19,MATCH(P12,'Детали основы'!$A$6:$A$19,0))+INDEX('Оружие расчёт'!J$6:J$16,MATCH(Q12,'Оружие расчёт'!$A$6:$A$16,0))*R12,0)</x:f>
        <x:v>50</x:v>
      </x:c>
      <x:c r="C12" s="11" t="n">
        <x:f>INDEX('Детали основы'!$H$6:$H$19,MATCH(L12,'Детали основы'!$A$6:$A$19,0))*INDEX('Детали основы'!$I$6:$I$19,MATCH(M12,'Детали основы'!$A$6:$A$19,0))</x:f>
        <x:v>55</x:v>
      </x:c>
      <x:c r="D12" s="12" t="n">
        <x:f>INDEX('Детали основы'!$G$6:$G$19,MATCH(L12,'Детали основы'!$A$6:$A$19,0))+INDEX('Детали основы'!$G$6:$G$19,MATCH(M12,'Детали основы'!$A$6:$A$19,0))+INDEX('Детали основы'!$G$6:$G$19,MATCH(N12,'Детали основы'!$A$6:$A$19,0))+INDEX('Детали основы'!$G$6:$G$19,MATCH(O12,'Детали основы'!$A$6:$A$19,0))+INDEX('Детали основы'!$G$6:$G$19,MATCH(P12,'Детали основы'!$A$6:$A$19,0))+INDEX('Оружие расчёт'!K$6:K$16,MATCH(Q12,'Оружие расчёт'!$A$6:$A$16,0))*R12</x:f>
        <x:v>5</x:v>
      </x:c>
      <x:c r="E12" s="12" t="n">
        <x:f>INDEX('Детали основы'!$J$6:$J$19,MATCH(L12,'Детали основы'!$A$6:$A$19,0))+INDEX('Детали основы'!$K$6:$K$19,MATCH(M12,'Детали основы'!$A$6:$A$19,0))</x:f>
        <x:v>10</x:v>
      </x:c>
      <x:c r="F12" s="11" t="n">
        <x:f>INDEX('Оружие расчёт'!G$6:G$16,MATCH(Q12,'Оружие расчёт'!$A$6:$A$16,0))*R12*I12</x:f>
        <x:v>28.571428571428573</x:v>
      </x:c>
      <x:c r="G12" s="11" t="n">
        <x:f>INDEX('Оружие расчёт'!H$6:H$16,MATCH(Q12,'Оружие расчёт'!$A$6:$A$16,0))</x:f>
        <x:v>8</x:v>
      </x:c>
      <x:c r="H12" s="12" t="n">
        <x:f>MAX(INDEX('Детали основы'!$D$6:$D$19,MATCH(L12,'Детали основы'!$A$6:$A$19,0)),INDEX('Детали основы'!$D$6:$D$19,MATCH(M12,'Детали основы'!$A$6:$A$19,0)),INDEX('Детали основы'!$D$6:$D$19,MATCH(N12,'Детали основы'!$A$6:$A$19,0)),INDEX('Детали основы'!$D$6:$D$19,MATCH(O12,'Детали основы'!$A$6:$A$19,0)),INDEX('Детали основы'!$D$6:$D$19,MATCH(P12,'Детали основы'!$A$6:$A$19,0)),INDEX('Оружие расчёт'!L$6:L$16,MATCH(Q12,'Оружие расчёт'!$A$6:$A$16,0)))</x:f>
        <x:v>5</x:v>
      </x:c>
      <x:c r="I12" s="11" t="n">
        <x:f>MIN('Правила'!B14,INDEX('Детали основы'!$N$6:$N$19,MATCH(O12,'Детали основы'!$A$6:$A$19,0)),INDEX('Детали основы'!$M$6:$M$19,MATCH(L12,'Детали основы'!$A$6:$A$19,0))*INDEX('Детали основы'!$N$6:$N$19,MATCH(O12,'Детали основы'!$A$6:$A$19,0))/R12)</x:f>
        <x:v>1</x:v>
      </x:c>
      <x:c r="J12" s="11" t="n">
        <x:f>INDEX('Детали основы'!$O$6:$O$19,MATCH(N12,'Детали основы'!$A$6:$A$19,0))</x:f>
        <x:v>0</x:v>
      </x:c>
      <x:c r="K12" s="11" t="n">
        <x:f>C12/(1-J12)</x:f>
        <x:v>55</x:v>
      </x:c>
      <x:c r="L12" s="11" t="str">
        <x:v>frame.standard</x:v>
      </x:c>
      <x:c r="M12" s="11" t="str">
        <x:v>hull.standard</x:v>
      </x:c>
      <x:c r="N12" s="11" t="str">
        <x:v>armor.none</x:v>
      </x:c>
      <x:c r="O12" s="11" t="str">
        <x:v>feed.standard</x:v>
      </x:c>
      <x:c r="P12" s="11" t="str">
        <x:v>turn.standard</x:v>
      </x:c>
      <x:c r="Q12" s="11" t="str">
        <x:v>Очередь дозора</x:v>
      </x:c>
      <x:c r="R12" s="12" t="n">
        <x:v>1</x:v>
      </x:c>
      <x:c r="S12" s="11" t="str">
        <x:v>Три быстрых попадания и пауза</x:v>
      </x:c>
    </x:row>
    <x:row r="13" ht="28" customHeight="1">
      <x:c r="A13" s="10" t="str">
        <x:v>Барабанный дозор</x:v>
      </x:c>
      <x:c r="B13" s="13" t="n">
        <x:f>ROUNDUP(INDEX('Детали основы'!$F$6:$F$19,MATCH(L13,'Детали основы'!$A$6:$A$19,0))+INDEX('Детали основы'!$F$6:$F$19,MATCH(M13,'Детали основы'!$A$6:$A$19,0))+INDEX('Детали основы'!$F$6:$F$19,MATCH(N13,'Детали основы'!$A$6:$A$19,0))+INDEX('Детали основы'!$F$6:$F$19,MATCH(O13,'Детали основы'!$A$6:$A$19,0))+INDEX('Детали основы'!$F$6:$F$19,MATCH(P13,'Детали основы'!$A$6:$A$19,0))+INDEX('Оружие расчёт'!J$6:J$16,MATCH(Q13,'Оружие расчёт'!$A$6:$A$16,0))*R13,0)</x:f>
        <x:v>52</x:v>
      </x:c>
      <x:c r="C13" s="10" t="n">
        <x:f>INDEX('Детали основы'!$H$6:$H$19,MATCH(L13,'Детали основы'!$A$6:$A$19,0))*INDEX('Детали основы'!$I$6:$I$19,MATCH(M13,'Детали основы'!$A$6:$A$19,0))</x:f>
        <x:v>55</x:v>
      </x:c>
      <x:c r="D13" s="13" t="n">
        <x:f>INDEX('Детали основы'!$G$6:$G$19,MATCH(L13,'Детали основы'!$A$6:$A$19,0))+INDEX('Детали основы'!$G$6:$G$19,MATCH(M13,'Детали основы'!$A$6:$A$19,0))+INDEX('Детали основы'!$G$6:$G$19,MATCH(N13,'Детали основы'!$A$6:$A$19,0))+INDEX('Детали основы'!$G$6:$G$19,MATCH(O13,'Детали основы'!$A$6:$A$19,0))+INDEX('Детали основы'!$G$6:$G$19,MATCH(P13,'Детали основы'!$A$6:$A$19,0))+INDEX('Оружие расчёт'!K$6:K$16,MATCH(Q13,'Оружие расчёт'!$A$6:$A$16,0))*R13</x:f>
        <x:v>5</x:v>
      </x:c>
      <x:c r="E13" s="13" t="n">
        <x:f>INDEX('Детали основы'!$J$6:$J$19,MATCH(L13,'Детали основы'!$A$6:$A$19,0))+INDEX('Детали основы'!$K$6:$K$19,MATCH(M13,'Детали основы'!$A$6:$A$19,0))</x:f>
        <x:v>10</x:v>
      </x:c>
      <x:c r="F13" s="10" t="n">
        <x:f>INDEX('Оружие расчёт'!G$6:G$16,MATCH(Q13,'Оружие расчёт'!$A$6:$A$16,0))*R13*I13</x:f>
        <x:v>27.76171197223829</x:v>
      </x:c>
      <x:c r="G13" s="10" t="n">
        <x:f>INDEX('Оружие расчёт'!H$6:H$16,MATCH(Q13,'Оружие расчёт'!$A$6:$A$16,0))</x:f>
        <x:v>8</x:v>
      </x:c>
      <x:c r="H13" s="13" t="n">
        <x:f>MAX(INDEX('Детали основы'!$D$6:$D$19,MATCH(L13,'Детали основы'!$A$6:$A$19,0)),INDEX('Детали основы'!$D$6:$D$19,MATCH(M13,'Детали основы'!$A$6:$A$19,0)),INDEX('Детали основы'!$D$6:$D$19,MATCH(N13,'Детали основы'!$A$6:$A$19,0)),INDEX('Детали основы'!$D$6:$D$19,MATCH(O13,'Детали основы'!$A$6:$A$19,0)),INDEX('Детали основы'!$D$6:$D$19,MATCH(P13,'Детали основы'!$A$6:$A$19,0)),INDEX('Оружие расчёт'!L$6:L$16,MATCH(Q13,'Оружие расчёт'!$A$6:$A$16,0)))</x:f>
        <x:v>4</x:v>
      </x:c>
      <x:c r="I13" s="10" t="n">
        <x:f>MIN('Правила'!B14,INDEX('Детали основы'!$N$6:$N$19,MATCH(O13,'Детали основы'!$A$6:$A$19,0)),INDEX('Детали основы'!$M$6:$M$19,MATCH(L13,'Детали основы'!$A$6:$A$19,0))*INDEX('Детали основы'!$N$6:$N$19,MATCH(O13,'Детали основы'!$A$6:$A$19,0))/R13)</x:f>
        <x:v>1</x:v>
      </x:c>
      <x:c r="J13" s="10" t="n">
        <x:f>INDEX('Детали основы'!$O$6:$O$19,MATCH(N13,'Детали основы'!$A$6:$A$19,0))</x:f>
        <x:v>0</x:v>
      </x:c>
      <x:c r="K13" s="10" t="n">
        <x:f>C13/(1-J13)</x:f>
        <x:v>55</x:v>
      </x:c>
      <x:c r="L13" s="10" t="str">
        <x:v>frame.standard</x:v>
      </x:c>
      <x:c r="M13" s="10" t="str">
        <x:v>hull.standard</x:v>
      </x:c>
      <x:c r="N13" s="10" t="str">
        <x:v>armor.none</x:v>
      </x:c>
      <x:c r="O13" s="10" t="str">
        <x:v>feed.standard</x:v>
      </x:c>
      <x:c r="P13" s="10" t="str">
        <x:v>turn.standard</x:v>
      </x:c>
      <x:c r="Q13" s="10" t="str">
        <x:v>Барабанный дозор</x:v>
      </x:c>
      <x:c r="R13" s="13" t="n">
        <x:v>1</x:v>
      </x:c>
      <x:c r="S13" s="10" t="str">
        <x:v>Длинная очередь, долгая смена магазина</x:v>
      </x:c>
    </x:row>
    <x:row r="14" ht="28" customHeight="1">
      <x:c r="A14" s="11" t="str">
        <x:v>Батарея</x:v>
      </x:c>
      <x:c r="B14" s="12" t="n">
        <x:f>ROUNDUP(INDEX('Детали основы'!$F$6:$F$19,MATCH(L14,'Детали основы'!$A$6:$A$19,0))+INDEX('Детали основы'!$F$6:$F$19,MATCH(M14,'Детали основы'!$A$6:$A$19,0))+INDEX('Детали основы'!$F$6:$F$19,MATCH(N14,'Детали основы'!$A$6:$A$19,0))+INDEX('Детали основы'!$F$6:$F$19,MATCH(O14,'Детали основы'!$A$6:$A$19,0))+INDEX('Детали основы'!$F$6:$F$19,MATCH(P14,'Детали основы'!$A$6:$A$19,0))+INDEX('Оружие расчёт'!J$6:J$16,MATCH(Q14,'Оружие расчёт'!$A$6:$A$16,0))*R14,0)</x:f>
        <x:v>100</x:v>
      </x:c>
      <x:c r="C14" s="11" t="n">
        <x:f>INDEX('Детали основы'!$H$6:$H$19,MATCH(L14,'Детали основы'!$A$6:$A$19,0))*INDEX('Детали основы'!$I$6:$I$19,MATCH(M14,'Детали основы'!$A$6:$A$19,0))</x:f>
        <x:v>77</x:v>
      </x:c>
      <x:c r="D14" s="12" t="n">
        <x:f>INDEX('Детали основы'!$G$6:$G$19,MATCH(L14,'Детали основы'!$A$6:$A$19,0))+INDEX('Детали основы'!$G$6:$G$19,MATCH(M14,'Детали основы'!$A$6:$A$19,0))+INDEX('Детали основы'!$G$6:$G$19,MATCH(N14,'Детали основы'!$A$6:$A$19,0))+INDEX('Детали основы'!$G$6:$G$19,MATCH(O14,'Детали основы'!$A$6:$A$19,0))+INDEX('Детали основы'!$G$6:$G$19,MATCH(P14,'Детали основы'!$A$6:$A$19,0))+INDEX('Оружие расчёт'!K$6:K$16,MATCH(Q14,'Оружие расчёт'!$A$6:$A$16,0))*R14</x:f>
        <x:v>12</x:v>
      </x:c>
      <x:c r="E14" s="12" t="n">
        <x:f>INDEX('Детали основы'!$J$6:$J$19,MATCH(L14,'Детали основы'!$A$6:$A$19,0))+INDEX('Детали основы'!$K$6:$K$19,MATCH(M14,'Детали основы'!$A$6:$A$19,0))</x:f>
        <x:v>22</x:v>
      </x:c>
      <x:c r="F14" s="11" t="n">
        <x:f>INDEX('Оружие расчёт'!G$6:G$16,MATCH(Q14,'Оружие расчёт'!$A$6:$A$16,0))*R14*I14</x:f>
        <x:v>68.57142857142857</x:v>
      </x:c>
      <x:c r="G14" s="11" t="n">
        <x:f>INDEX('Оружие расчёт'!H$6:H$16,MATCH(Q14,'Оружие расчёт'!$A$6:$A$16,0))</x:f>
        <x:v>8</x:v>
      </x:c>
      <x:c r="H14" s="12" t="n">
        <x:f>MAX(INDEX('Детали основы'!$D$6:$D$19,MATCH(L14,'Детали основы'!$A$6:$A$19,0)),INDEX('Детали основы'!$D$6:$D$19,MATCH(M14,'Детали основы'!$A$6:$A$19,0)),INDEX('Детали основы'!$D$6:$D$19,MATCH(N14,'Детали основы'!$A$6:$A$19,0)),INDEX('Детали основы'!$D$6:$D$19,MATCH(O14,'Детали основы'!$A$6:$A$19,0)),INDEX('Детали основы'!$D$6:$D$19,MATCH(P14,'Детали основы'!$A$6:$A$19,0)),INDEX('Оружие расчёт'!L$6:L$16,MATCH(Q14,'Оружие расчёт'!$A$6:$A$16,0)))</x:f>
        <x:v>7</x:v>
      </x:c>
      <x:c r="I14" s="11" t="n">
        <x:f>MIN('Правила'!B14,INDEX('Детали основы'!$N$6:$N$19,MATCH(O14,'Детали основы'!$A$6:$A$19,0)),INDEX('Детали основы'!$M$6:$M$19,MATCH(L14,'Детали основы'!$A$6:$A$19,0))*INDEX('Детали основы'!$N$6:$N$19,MATCH(O14,'Детали основы'!$A$6:$A$19,0))/R14)</x:f>
        <x:v>0.7999999999999999</x:v>
      </x:c>
      <x:c r="J14" s="11" t="n">
        <x:f>INDEX('Детали основы'!$O$6:$O$19,MATCH(N14,'Детали основы'!$A$6:$A$19,0))</x:f>
        <x:v>0</x:v>
      </x:c>
      <x:c r="K14" s="11" t="n">
        <x:f>C14/(1-J14)</x:f>
        <x:v>77</x:v>
      </x:c>
      <x:c r="L14" s="11" t="str">
        <x:v>frame.battery</x:v>
      </x:c>
      <x:c r="M14" s="11" t="str">
        <x:v>hull.standard</x:v>
      </x:c>
      <x:c r="N14" s="11" t="str">
        <x:v>armor.none</x:v>
      </x:c>
      <x:c r="O14" s="11" t="str">
        <x:v>feed.standard</x:v>
      </x:c>
      <x:c r="P14" s="11" t="str">
        <x:v>turn.standard</x:v>
      </x:c>
      <x:c r="Q14" s="11" t="str">
        <x:v>Пулемёт</x:v>
      </x:c>
      <x:c r="R14" s="12" t="n">
        <x:v>3</x:v>
      </x:c>
      <x:c r="S14" s="11" t="str">
        <x:v>Три ствола с общей подачей</x:v>
      </x:c>
    </x:row>
    <x:row r="15" ht="28" customHeight="1">
      <x:c r="A15" s="10" t="str">
        <x:v>Степлер</x:v>
      </x:c>
      <x:c r="B15" s="13" t="n">
        <x:f>ROUNDUP(INDEX('Детали основы'!$F$6:$F$19,MATCH(L15,'Детали основы'!$A$6:$A$19,0))+INDEX('Детали основы'!$F$6:$F$19,MATCH(M15,'Детали основы'!$A$6:$A$19,0))+INDEX('Детали основы'!$F$6:$F$19,MATCH(N15,'Детали основы'!$A$6:$A$19,0))+INDEX('Детали основы'!$F$6:$F$19,MATCH(O15,'Детали основы'!$A$6:$A$19,0))+INDEX('Детали основы'!$F$6:$F$19,MATCH(P15,'Детали основы'!$A$6:$A$19,0))+INDEX('Оружие расчёт'!J$6:J$16,MATCH(Q15,'Оружие расчёт'!$A$6:$A$16,0))*R15,0)</x:f>
        <x:v>28</x:v>
      </x:c>
      <x:c r="C15" s="10" t="n">
        <x:f>INDEX('Детали основы'!$H$6:$H$19,MATCH(L15,'Детали основы'!$A$6:$A$19,0))*INDEX('Детали основы'!$I$6:$I$19,MATCH(M15,'Детали основы'!$A$6:$A$19,0))</x:f>
        <x:v>55</x:v>
      </x:c>
      <x:c r="D15" s="13" t="n">
        <x:f>INDEX('Детали основы'!$G$6:$G$19,MATCH(L15,'Детали основы'!$A$6:$A$19,0))+INDEX('Детали основы'!$G$6:$G$19,MATCH(M15,'Детали основы'!$A$6:$A$19,0))+INDEX('Детали основы'!$G$6:$G$19,MATCH(N15,'Детали основы'!$A$6:$A$19,0))+INDEX('Детали основы'!$G$6:$G$19,MATCH(O15,'Детали основы'!$A$6:$A$19,0))+INDEX('Детали основы'!$G$6:$G$19,MATCH(P15,'Детали основы'!$A$6:$A$19,0))+INDEX('Оружие расчёт'!K$6:K$16,MATCH(Q15,'Оружие расчёт'!$A$6:$A$16,0))*R15</x:f>
        <x:v>2</x:v>
      </x:c>
      <x:c r="E15" s="13" t="n">
        <x:f>INDEX('Детали основы'!$J$6:$J$19,MATCH(L15,'Детали основы'!$A$6:$A$19,0))+INDEX('Детали основы'!$K$6:$K$19,MATCH(M15,'Детали основы'!$A$6:$A$19,0))</x:f>
        <x:v>10</x:v>
      </x:c>
      <x:c r="F15" s="10" t="n">
        <x:f>INDEX('Оружие расчёт'!G$6:G$16,MATCH(Q15,'Оружие расчёт'!$A$6:$A$16,0))*R15*I15</x:f>
        <x:v>8.333333333333334</x:v>
      </x:c>
      <x:c r="G15" s="10" t="n">
        <x:f>INDEX('Оружие расчёт'!H$6:H$16,MATCH(Q15,'Оружие расчёт'!$A$6:$A$16,0))</x:f>
        <x:v>9</x:v>
      </x:c>
      <x:c r="H15" s="13" t="n">
        <x:f>MAX(INDEX('Детали основы'!$D$6:$D$19,MATCH(L15,'Детали основы'!$A$6:$A$19,0)),INDEX('Детали основы'!$D$6:$D$19,MATCH(M15,'Детали основы'!$A$6:$A$19,0)),INDEX('Детали основы'!$D$6:$D$19,MATCH(N15,'Детали основы'!$A$6:$A$19,0)),INDEX('Детали основы'!$D$6:$D$19,MATCH(O15,'Детали основы'!$A$6:$A$19,0)),INDEX('Детали основы'!$D$6:$D$19,MATCH(P15,'Детали основы'!$A$6:$A$19,0)),INDEX('Оружие расчёт'!L$6:L$16,MATCH(Q15,'Оружие расчёт'!$A$6:$A$16,0)))</x:f>
        <x:v>2</x:v>
      </x:c>
      <x:c r="I15" s="10" t="n">
        <x:f>MIN('Правила'!B14,INDEX('Детали основы'!$N$6:$N$19,MATCH(O15,'Детали основы'!$A$6:$A$19,0)),INDEX('Детали основы'!$M$6:$M$19,MATCH(L15,'Детали основы'!$A$6:$A$19,0))*INDEX('Детали основы'!$N$6:$N$19,MATCH(O15,'Детали основы'!$A$6:$A$19,0))/R15)</x:f>
        <x:v>1</x:v>
      </x:c>
      <x:c r="J15" s="10" t="n">
        <x:f>INDEX('Детали основы'!$O$6:$O$19,MATCH(N15,'Детали основы'!$A$6:$A$19,0))</x:f>
        <x:v>0</x:v>
      </x:c>
      <x:c r="K15" s="10" t="n">
        <x:f>C15/(1-J15)</x:f>
        <x:v>55</x:v>
      </x:c>
      <x:c r="L15" s="10" t="str">
        <x:v>frame.standard</x:v>
      </x:c>
      <x:c r="M15" s="10" t="str">
        <x:v>hull.standard</x:v>
      </x:c>
      <x:c r="N15" s="10" t="str">
        <x:v>armor.none</x:v>
      </x:c>
      <x:c r="O15" s="10" t="str">
        <x:v>feed.standard</x:v>
      </x:c>
      <x:c r="P15" s="10" t="str">
        <x:v>turn.standard</x:v>
      </x:c>
      <x:c r="Q15" s="10" t="str">
        <x:v>Степлер</x:v>
      </x:c>
      <x:c r="R15" s="13" t="n">
        <x:v>1</x:v>
      </x:c>
      <x:c r="S15" s="10" t="str">
        <x:v>Контроль быстрых целей</x:v>
      </x:c>
    </x:row>
  </x:sheetData>
  <x:conditionalFormatting sqref="D6:D15">
    <x:cfRule type="expression" dxfId="0" priority="1">
      <x:formula>D6&gt;E6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6299223126c427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9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29" hidden="0" customWidth="1"/>
    <x:col min="17" max="17" width="29" hidden="0" customWidth="1"/>
    <x:col min="18" max="18" width="29" hidden="0" customWidth="1"/>
    <x:col min="19" max="19" width="29" hidden="0" customWidth="1"/>
    <x:col min="20" max="20" width="29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</x:row>
    <x:row r="2">
      <x:c r="A2" s="2" t="str">
        <x:v>Сборки оружия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DPS = урон × обойма / цикл. Эффекты и дополнительное поражение целей оцениваются отдельно.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</x:row>
    <x:row r="5" ht="46" customHeight="1">
      <x:c r="A5" s="8" t="str">
        <x:v>Вариант</x:v>
      </x:c>
      <x:c r="B5" s="8" t="str">
        <x:v>Урон</x:v>
      </x:c>
      <x:c r="C5" s="8" t="str">
        <x:v>Интервал, с</x:v>
      </x:c>
      <x:c r="D5" s="8" t="str">
        <x:v>Обойма</x:v>
      </x:c>
      <x:c r="E5" s="8" t="str">
        <x:v>Перезарядка, с</x:v>
      </x:c>
      <x:c r="F5" s="8" t="str">
        <x:v>Цикл, с</x:v>
      </x:c>
      <x:c r="G5" s="8" t="str">
        <x:v>DPS одной цели</x:v>
      </x:c>
      <x:c r="H5" s="8" t="str">
        <x:v>Дальность</x:v>
      </x:c>
      <x:c r="I5" s="8" t="str">
        <x:v>Мин. дальность</x:v>
      </x:c>
      <x:c r="J5" s="8" t="str">
        <x:v>Цена, штр.</x:v>
      </x:c>
      <x:c r="K5" s="8" t="str">
        <x:v>Нагрузка</x:v>
      </x:c>
      <x:c r="L5" s="8" t="str">
        <x:v>Уровень</x:v>
      </x:c>
      <x:c r="M5" s="8" t="str">
        <x:v>Захват, с</x:v>
      </x:c>
      <x:c r="N5" s="8" t="str">
        <x:v>Радиус</x:v>
      </x:c>
      <x:c r="O5" s="8" t="str">
        <x:v>Цели для оценки</x:v>
      </x:c>
      <x:c r="P5" s="8" t="str">
        <x:v>Механизм</x:v>
      </x:c>
      <x:c r="Q5" s="8" t="str">
        <x:v>Ствол / головка</x:v>
      </x:c>
      <x:c r="R5" s="8" t="str">
        <x:v>Прицел</x:v>
      </x:c>
      <x:c r="S5" s="8" t="str">
        <x:v>Магазин</x:v>
      </x:c>
      <x:c r="T5" s="8" t="str">
        <x:v>Спуск</x:v>
      </x:c>
    </x:row>
    <x:row r="6" ht="28" customHeight="1">
      <x:c r="A6" s="11" t="str">
        <x:v>Пулемёт</x:v>
      </x:c>
      <x:c r="B6" s="11" t="n">
        <x:f>INDEX('Механизмы'!$G$6:$G$12,MATCH(P6,'Механизмы'!$A$6:$A$12,0))*INDEX('Детали оружия'!$I$6:$I$23,MATCH(Q6,'Детали оружия'!$A$6:$A$23,0))*INDEX('Детали оружия'!$I$6:$I$23,MATCH(R6,'Детали оружия'!$A$6:$A$23,0))*INDEX('Детали оружия'!$I$6:$I$23,MATCH(S6,'Детали оружия'!$A$6:$A$23,0))*INDEX('Детали оружия'!$I$6:$I$23,MATCH(T6,'Детали оружия'!$A$6:$A$23,0))</x:f>
        <x:v>12</x:v>
      </x:c>
      <x:c r="C6" s="11" t="n">
        <x:f>INDEX('Механизмы'!$H$6:$H$12,MATCH(P6,'Механизмы'!$A$6:$A$12,0))*INDEX('Детали оружия'!$J$6:$J$23,MATCH(Q6,'Детали оружия'!$A$6:$A$23,0))*INDEX('Детали оружия'!$J$6:$J$23,MATCH(R6,'Детали оружия'!$A$6:$A$23,0))*INDEX('Детали оружия'!$J$6:$J$23,MATCH(S6,'Детали оружия'!$A$6:$A$23,0))*INDEX('Детали оружия'!$J$6:$J$23,MATCH(T6,'Детали оружия'!$A$6:$A$23,0))</x:f>
        <x:v>0.42</x:v>
      </x:c>
      <x:c r="D6" s="12" t="n">
        <x:f>IF(INDEX('Детали оружия'!$M$6:$M$23,MATCH(T6,'Детали оружия'!$A$6:$A$23,0))&gt;0,INDEX('Детали оружия'!$M$6:$M$23,MATCH(T6,'Детали оружия'!$A$6:$A$23,0)),INDEX('Механизмы'!$K$6:$K$12,MATCH(P6,'Механизмы'!$A$6:$A$12,0))*INDEX('Детали оружия'!$L$6:$L$23,MATCH(Q6,'Детали оружия'!$A$6:$A$23,0))*INDEX('Детали оружия'!$L$6:$L$23,MATCH(R6,'Детали оружия'!$A$6:$A$23,0))*INDEX('Детали оружия'!$L$6:$L$23,MATCH(S6,'Детали оружия'!$A$6:$A$23,0))*INDEX('Детали оружия'!$L$6:$L$23,MATCH(T6,'Детали оружия'!$A$6:$A$23,0)))</x:f>
        <x:v>6</x:v>
      </x:c>
      <x:c r="E6" s="11" t="n">
        <x:f>INDEX('Механизмы'!$L$6:$L$12,MATCH(P6,'Механизмы'!$A$6:$A$12,0))*INDEX('Детали оружия'!$N$6:$N$23,MATCH(Q6,'Детали оружия'!$A$6:$A$23,0))*INDEX('Детали оружия'!$N$6:$N$23,MATCH(R6,'Детали оружия'!$A$6:$A$23,0))*INDEX('Детали оружия'!$N$6:$N$23,MATCH(S6,'Детали оружия'!$A$6:$A$23,0))*INDEX('Детали оружия'!$N$6:$N$23,MATCH(T6,'Детали оружия'!$A$6:$A$23,0))</x:f>
        <x:v>0.42</x:v>
      </x:c>
      <x:c r="F6" s="11" t="n">
        <x:f>(D6-1)*C6+E6</x:f>
        <x:v>2.52</x:v>
      </x:c>
      <x:c r="G6" s="11" t="n">
        <x:f>B6*D6/F6</x:f>
        <x:v>28.571428571428573</x:v>
      </x:c>
      <x:c r="H6" s="11" t="n">
        <x:f>INDEX('Механизмы'!$I$6:$I$12,MATCH(P6,'Механизмы'!$A$6:$A$12,0))*INDEX('Детали оружия'!$K$6:$K$23,MATCH(Q6,'Детали оружия'!$A$6:$A$23,0))*INDEX('Детали оружия'!$K$6:$K$23,MATCH(R6,'Детали оружия'!$A$6:$A$23,0))*INDEX('Детали оружия'!$K$6:$K$23,MATCH(S6,'Детали оружия'!$A$6:$A$23,0))*INDEX('Детали оружия'!$K$6:$K$23,MATCH(T6,'Детали оружия'!$A$6:$A$23,0))</x:f>
        <x:v>8</x:v>
      </x:c>
      <x:c r="I6" s="11" t="n">
        <x:f>INDEX('Механизмы'!$J$6:$J$12,MATCH(P6,'Механизмы'!$A$6:$A$12,0))</x:f>
        <x:v>0</x:v>
      </x:c>
      <x:c r="J6" s="12" t="n">
        <x:f>INDEX('Механизмы'!$E$6:$E$12,MATCH(P6,'Механизмы'!$A$6:$A$12,0))+INDEX('Детали оружия'!$G$6:$G$23,MATCH(Q6,'Детали оружия'!$A$6:$A$23,0))+INDEX('Детали оружия'!$G$6:$G$23,MATCH(R6,'Детали оружия'!$A$6:$A$23,0))+INDEX('Детали оружия'!$G$6:$G$23,MATCH(S6,'Детали оружия'!$A$6:$A$23,0))+INDEX('Детали оружия'!$G$6:$G$23,MATCH(T6,'Детали оружия'!$A$6:$A$23,0))</x:f>
        <x:v>24</x:v>
      </x:c>
      <x:c r="K6" s="12" t="n">
        <x:f>INDEX('Механизмы'!$F$6:$F$12,MATCH(P6,'Механизмы'!$A$6:$A$12,0))+INDEX('Детали оружия'!$H$6:$H$23,MATCH(Q6,'Детали оружия'!$A$6:$A$23,0))+INDEX('Детали оружия'!$H$6:$H$23,MATCH(R6,'Детали оружия'!$A$6:$A$23,0))+INDEX('Детали оружия'!$H$6:$H$23,MATCH(S6,'Детали оружия'!$A$6:$A$23,0))+INDEX('Детали оружия'!$H$6:$H$23,MATCH(T6,'Детали оружия'!$A$6:$A$23,0))</x:f>
        <x:v>4</x:v>
      </x:c>
      <x:c r="L6" s="12" t="n">
        <x:f>MAX(INDEX('Механизмы'!$C$6:$C$12,MATCH(P6,'Механизмы'!$A$6:$A$12,0)),INDEX('Детали оружия'!$E$6:$E$23,MATCH(Q6,'Детали оружия'!$A$6:$A$23,0)),INDEX('Детали оружия'!$E$6:$E$23,MATCH(R6,'Детали оружия'!$A$6:$A$23,0)),INDEX('Детали оружия'!$E$6:$E$23,MATCH(S6,'Детали оружия'!$A$6:$A$23,0)),INDEX('Детали оружия'!$E$6:$E$23,MATCH(T6,'Детали оружия'!$A$6:$A$23,0)))</x:f>
        <x:v>1</x:v>
      </x:c>
      <x:c r="M6" s="11" t="n">
        <x:f>'Правила'!B15*INDEX('Детали оружия'!$O$6:$O$23,MATCH(Q6,'Детали оружия'!$A$6:$A$23,0))*INDEX('Детали оружия'!$O$6:$O$23,MATCH(R6,'Детали оружия'!$A$6:$A$23,0))*INDEX('Детали оружия'!$O$6:$O$23,MATCH(S6,'Детали оружия'!$A$6:$A$23,0))*INDEX('Детали оружия'!$O$6:$O$23,MATCH(T6,'Детали оружия'!$A$6:$A$23,0))</x:f>
        <x:v>0.25</x:v>
      </x:c>
      <x:c r="N6" s="11" t="n">
        <x:f>INDEX('Механизмы'!$N$6:$N$12,MATCH(P6,'Механизмы'!$A$6:$A$12,0))*INDEX('Детали оружия'!$P$6:$P$23,MATCH(Q6,'Детали оружия'!$A$6:$A$23,0))*INDEX('Детали оружия'!$P$6:$P$23,MATCH(R6,'Детали оружия'!$A$6:$A$23,0))*INDEX('Детали оружия'!$P$6:$P$23,MATCH(S6,'Детали оружия'!$A$6:$A$23,0))*INDEX('Детали оружия'!$P$6:$P$23,MATCH(T6,'Детали оружия'!$A$6:$A$23,0))</x:f>
        <x:v>0.1</x:v>
      </x:c>
      <x:c r="O6" s="12" t="n">
        <x:f>INDEX('Механизмы'!$M$6:$M$12,MATCH(P6,'Механизмы'!$A$6:$A$12,0))</x:f>
        <x:v>1</x:v>
      </x:c>
      <x:c r="P6" s="11" t="str">
        <x:v>core.gun</x:v>
      </x:c>
      <x:c r="Q6" s="11" t="str">
        <x:v>head.gun</x:v>
      </x:c>
      <x:c r="R6" s="11" t="str">
        <x:v>sight.iron</x:v>
      </x:c>
      <x:c r="S6" s="11" t="str">
        <x:v>magazine.standard</x:v>
      </x:c>
      <x:c r="T6" s="11" t="str">
        <x:v>trigger.standard</x:v>
      </x:c>
    </x:row>
    <x:row r="7" ht="28" customHeight="1">
      <x:c r="A7" s="10" t="str">
        <x:v>Пробивающая пушка</x:v>
      </x:c>
      <x:c r="B7" s="10" t="n">
        <x:f>INDEX('Механизмы'!$G$6:$G$12,MATCH(P7,'Механизмы'!$A$6:$A$12,0))*INDEX('Детали оружия'!$I$6:$I$23,MATCH(Q7,'Детали оружия'!$A$6:$A$23,0))*INDEX('Детали оружия'!$I$6:$I$23,MATCH(R7,'Детали оружия'!$A$6:$A$23,0))*INDEX('Детали оружия'!$I$6:$I$23,MATCH(S7,'Детали оружия'!$A$6:$A$23,0))*INDEX('Детали оружия'!$I$6:$I$23,MATCH(T7,'Детали оружия'!$A$6:$A$23,0))</x:f>
        <x:v>20</x:v>
      </x:c>
      <x:c r="C7" s="10" t="n">
        <x:f>INDEX('Механизмы'!$H$6:$H$12,MATCH(P7,'Механизмы'!$A$6:$A$12,0))*INDEX('Детали оружия'!$J$6:$J$23,MATCH(Q7,'Детали оружия'!$A$6:$A$23,0))*INDEX('Детали оружия'!$J$6:$J$23,MATCH(R7,'Детали оружия'!$A$6:$A$23,0))*INDEX('Детали оружия'!$J$6:$J$23,MATCH(S7,'Детали оружия'!$A$6:$A$23,0))*INDEX('Детали оружия'!$J$6:$J$23,MATCH(T7,'Детали оружия'!$A$6:$A$23,0))</x:f>
        <x:v>1</x:v>
      </x:c>
      <x:c r="D7" s="13" t="n">
        <x:f>IF(INDEX('Детали оружия'!$M$6:$M$23,MATCH(T7,'Детали оружия'!$A$6:$A$23,0))&gt;0,INDEX('Детали оружия'!$M$6:$M$23,MATCH(T7,'Детали оружия'!$A$6:$A$23,0)),INDEX('Механизмы'!$K$6:$K$12,MATCH(P7,'Механизмы'!$A$6:$A$12,0))*INDEX('Детали оружия'!$L$6:$L$23,MATCH(Q7,'Детали оружия'!$A$6:$A$23,0))*INDEX('Детали оружия'!$L$6:$L$23,MATCH(R7,'Детали оружия'!$A$6:$A$23,0))*INDEX('Детали оружия'!$L$6:$L$23,MATCH(S7,'Детали оружия'!$A$6:$A$23,0))*INDEX('Детали оружия'!$L$6:$L$23,MATCH(T7,'Детали оружия'!$A$6:$A$23,0)))</x:f>
        <x:v>1</x:v>
      </x:c>
      <x:c r="E7" s="10" t="n">
        <x:f>INDEX('Механизмы'!$L$6:$L$12,MATCH(P7,'Механизмы'!$A$6:$A$12,0))*INDEX('Детали оружия'!$N$6:$N$23,MATCH(Q7,'Детали оружия'!$A$6:$A$23,0))*INDEX('Детали оружия'!$N$6:$N$23,MATCH(R7,'Детали оружия'!$A$6:$A$23,0))*INDEX('Детали оружия'!$N$6:$N$23,MATCH(S7,'Детали оружия'!$A$6:$A$23,0))*INDEX('Детали оружия'!$N$6:$N$23,MATCH(T7,'Детали оружия'!$A$6:$A$23,0))</x:f>
        <x:v>1</x:v>
      </x:c>
      <x:c r="F7" s="10" t="n">
        <x:f>(D7-1)*C7+E7</x:f>
        <x:v>1</x:v>
      </x:c>
      <x:c r="G7" s="10" t="n">
        <x:f>B7*D7/F7</x:f>
        <x:v>20</x:v>
      </x:c>
      <x:c r="H7" s="10" t="n">
        <x:f>INDEX('Механизмы'!$I$6:$I$12,MATCH(P7,'Механизмы'!$A$6:$A$12,0))*INDEX('Детали оружия'!$K$6:$K$23,MATCH(Q7,'Детали оружия'!$A$6:$A$23,0))*INDEX('Детали оружия'!$K$6:$K$23,MATCH(R7,'Детали оружия'!$A$6:$A$23,0))*INDEX('Детали оружия'!$K$6:$K$23,MATCH(S7,'Детали оружия'!$A$6:$A$23,0))*INDEX('Детали оружия'!$K$6:$K$23,MATCH(T7,'Детали оружия'!$A$6:$A$23,0))</x:f>
        <x:v>12.5</x:v>
      </x:c>
      <x:c r="I7" s="10" t="n">
        <x:f>INDEX('Механизмы'!$J$6:$J$12,MATCH(P7,'Механизмы'!$A$6:$A$12,0))</x:f>
        <x:v>0</x:v>
      </x:c>
      <x:c r="J7" s="13" t="n">
        <x:f>INDEX('Механизмы'!$E$6:$E$12,MATCH(P7,'Механизмы'!$A$6:$A$12,0))+INDEX('Детали оружия'!$G$6:$G$23,MATCH(Q7,'Детали оружия'!$A$6:$A$23,0))+INDEX('Детали оружия'!$G$6:$G$23,MATCH(R7,'Детали оружия'!$A$6:$A$23,0))+INDEX('Детали оружия'!$G$6:$G$23,MATCH(S7,'Детали оружия'!$A$6:$A$23,0))+INDEX('Детали оружия'!$G$6:$G$23,MATCH(T7,'Детали оружия'!$A$6:$A$23,0))</x:f>
        <x:v>44</x:v>
      </x:c>
      <x:c r="K7" s="13" t="n">
        <x:f>INDEX('Механизмы'!$F$6:$F$12,MATCH(P7,'Механизмы'!$A$6:$A$12,0))+INDEX('Детали оружия'!$H$6:$H$23,MATCH(Q7,'Детали оружия'!$A$6:$A$23,0))+INDEX('Детали оружия'!$H$6:$H$23,MATCH(R7,'Детали оружия'!$A$6:$A$23,0))+INDEX('Детали оружия'!$H$6:$H$23,MATCH(S7,'Детали оружия'!$A$6:$A$23,0))+INDEX('Детали оружия'!$H$6:$H$23,MATCH(T7,'Детали оружия'!$A$6:$A$23,0))</x:f>
        <x:v>6</x:v>
      </x:c>
      <x:c r="L7" s="13" t="n">
        <x:f>MAX(INDEX('Механизмы'!$C$6:$C$12,MATCH(P7,'Механизмы'!$A$6:$A$12,0)),INDEX('Детали оружия'!$E$6:$E$23,MATCH(Q7,'Детали оружия'!$A$6:$A$23,0)),INDEX('Детали оружия'!$E$6:$E$23,MATCH(R7,'Детали оружия'!$A$6:$A$23,0)),INDEX('Детали оружия'!$E$6:$E$23,MATCH(S7,'Детали оружия'!$A$6:$A$23,0)),INDEX('Детали оружия'!$E$6:$E$23,MATCH(T7,'Детали оружия'!$A$6:$A$23,0)))</x:f>
        <x:v>1</x:v>
      </x:c>
      <x:c r="M7" s="10" t="n">
        <x:f>'Правила'!B15*INDEX('Детали оружия'!$O$6:$O$23,MATCH(Q7,'Детали оружия'!$A$6:$A$23,0))*INDEX('Детали оружия'!$O$6:$O$23,MATCH(R7,'Детали оружия'!$A$6:$A$23,0))*INDEX('Детали оружия'!$O$6:$O$23,MATCH(S7,'Детали оружия'!$A$6:$A$23,0))*INDEX('Детали оружия'!$O$6:$O$23,MATCH(T7,'Детали оружия'!$A$6:$A$23,0))</x:f>
        <x:v>0.25</x:v>
      </x:c>
      <x:c r="N7" s="10" t="n">
        <x:f>INDEX('Механизмы'!$N$6:$N$12,MATCH(P7,'Механизмы'!$A$6:$A$12,0))*INDEX('Детали оружия'!$P$6:$P$23,MATCH(Q7,'Детали оружия'!$A$6:$A$23,0))*INDEX('Детали оружия'!$P$6:$P$23,MATCH(R7,'Детали оружия'!$A$6:$A$23,0))*INDEX('Детали оружия'!$P$6:$P$23,MATCH(S7,'Детали оружия'!$A$6:$A$23,0))*INDEX('Детали оружия'!$P$6:$P$23,MATCH(T7,'Детали оружия'!$A$6:$A$23,0))</x:f>
        <x:v>0.38</x:v>
      </x:c>
      <x:c r="O7" s="13" t="n">
        <x:f>INDEX('Механизмы'!$M$6:$M$12,MATCH(P7,'Механизмы'!$A$6:$A$12,0))</x:f>
        <x:v>7</x:v>
      </x:c>
      <x:c r="P7" s="10" t="str">
        <x:v>core.piercer</x:v>
      </x:c>
      <x:c r="Q7" s="10" t="str">
        <x:v>head.piercer</x:v>
      </x:c>
      <x:c r="R7" s="10" t="str">
        <x:v>sight.iron</x:v>
      </x:c>
      <x:c r="S7" s="10" t="str">
        <x:v>magazine.standard</x:v>
      </x:c>
      <x:c r="T7" s="10" t="str">
        <x:v>trigger.standard</x:v>
      </x:c>
    </x:row>
    <x:row r="8" ht="28" customHeight="1">
      <x:c r="A8" s="11" t="str">
        <x:v>Мортира</x:v>
      </x:c>
      <x:c r="B8" s="11" t="n">
        <x:f>INDEX('Механизмы'!$G$6:$G$12,MATCH(P8,'Механизмы'!$A$6:$A$12,0))*INDEX('Детали оружия'!$I$6:$I$23,MATCH(Q8,'Детали оружия'!$A$6:$A$23,0))*INDEX('Детали оружия'!$I$6:$I$23,MATCH(R8,'Детали оружия'!$A$6:$A$23,0))*INDEX('Детали оружия'!$I$6:$I$23,MATCH(S8,'Детали оружия'!$A$6:$A$23,0))*INDEX('Детали оружия'!$I$6:$I$23,MATCH(T8,'Детали оружия'!$A$6:$A$23,0))</x:f>
        <x:v>28</x:v>
      </x:c>
      <x:c r="C8" s="11" t="n">
        <x:f>INDEX('Механизмы'!$H$6:$H$12,MATCH(P8,'Механизмы'!$A$6:$A$12,0))*INDEX('Детали оружия'!$J$6:$J$23,MATCH(Q8,'Детали оружия'!$A$6:$A$23,0))*INDEX('Детали оружия'!$J$6:$J$23,MATCH(R8,'Детали оружия'!$A$6:$A$23,0))*INDEX('Детали оружия'!$J$6:$J$23,MATCH(S8,'Детали оружия'!$A$6:$A$23,0))*INDEX('Детали оружия'!$J$6:$J$23,MATCH(T8,'Детали оружия'!$A$6:$A$23,0))</x:f>
        <x:v>1.9</x:v>
      </x:c>
      <x:c r="D8" s="12" t="n">
        <x:f>IF(INDEX('Детали оружия'!$M$6:$M$23,MATCH(T8,'Детали оружия'!$A$6:$A$23,0))&gt;0,INDEX('Детали оружия'!$M$6:$M$23,MATCH(T8,'Детали оружия'!$A$6:$A$23,0)),INDEX('Механизмы'!$K$6:$K$12,MATCH(P8,'Механизмы'!$A$6:$A$12,0))*INDEX('Детали оружия'!$L$6:$L$23,MATCH(Q8,'Детали оружия'!$A$6:$A$23,0))*INDEX('Детали оружия'!$L$6:$L$23,MATCH(R8,'Детали оружия'!$A$6:$A$23,0))*INDEX('Детали оружия'!$L$6:$L$23,MATCH(S8,'Детали оружия'!$A$6:$A$23,0))*INDEX('Детали оружия'!$L$6:$L$23,MATCH(T8,'Детали оружия'!$A$6:$A$23,0)))</x:f>
        <x:v>1</x:v>
      </x:c>
      <x:c r="E8" s="11" t="n">
        <x:f>INDEX('Механизмы'!$L$6:$L$12,MATCH(P8,'Механизмы'!$A$6:$A$12,0))*INDEX('Детали оружия'!$N$6:$N$23,MATCH(Q8,'Детали оружия'!$A$6:$A$23,0))*INDEX('Детали оружия'!$N$6:$N$23,MATCH(R8,'Детали оружия'!$A$6:$A$23,0))*INDEX('Детали оружия'!$N$6:$N$23,MATCH(S8,'Детали оружия'!$A$6:$A$23,0))*INDEX('Детали оружия'!$N$6:$N$23,MATCH(T8,'Детали оружия'!$A$6:$A$23,0))</x:f>
        <x:v>1.9</x:v>
      </x:c>
      <x:c r="F8" s="11" t="n">
        <x:f>(D8-1)*C8+E8</x:f>
        <x:v>1.9</x:v>
      </x:c>
      <x:c r="G8" s="11" t="n">
        <x:f>B8*D8/F8</x:f>
        <x:v>14.73684210526316</x:v>
      </x:c>
      <x:c r="H8" s="11" t="n">
        <x:f>INDEX('Механизмы'!$I$6:$I$12,MATCH(P8,'Механизмы'!$A$6:$A$12,0))*INDEX('Детали оружия'!$K$6:$K$23,MATCH(Q8,'Детали оружия'!$A$6:$A$23,0))*INDEX('Детали оружия'!$K$6:$K$23,MATCH(R8,'Детали оружия'!$A$6:$A$23,0))*INDEX('Детали оружия'!$K$6:$K$23,MATCH(S8,'Детали оружия'!$A$6:$A$23,0))*INDEX('Детали оружия'!$K$6:$K$23,MATCH(T8,'Детали оружия'!$A$6:$A$23,0))</x:f>
        <x:v>18</x:v>
      </x:c>
      <x:c r="I8" s="11" t="n">
        <x:f>INDEX('Механизмы'!$J$6:$J$12,MATCH(P8,'Механизмы'!$A$6:$A$12,0))</x:f>
        <x:v>6</x:v>
      </x:c>
      <x:c r="J8" s="12" t="n">
        <x:f>INDEX('Механизмы'!$E$6:$E$12,MATCH(P8,'Механизмы'!$A$6:$A$12,0))+INDEX('Детали оружия'!$G$6:$G$23,MATCH(Q8,'Детали оружия'!$A$6:$A$23,0))+INDEX('Детали оружия'!$G$6:$G$23,MATCH(R8,'Детали оружия'!$A$6:$A$23,0))+INDEX('Детали оружия'!$G$6:$G$23,MATCH(S8,'Детали оружия'!$A$6:$A$23,0))+INDEX('Детали оружия'!$G$6:$G$23,MATCH(T8,'Детали оружия'!$A$6:$A$23,0))</x:f>
        <x:v>69</x:v>
      </x:c>
      <x:c r="K8" s="12" t="n">
        <x:f>INDEX('Механизмы'!$F$6:$F$12,MATCH(P8,'Механизмы'!$A$6:$A$12,0))+INDEX('Детали оружия'!$H$6:$H$23,MATCH(Q8,'Детали оружия'!$A$6:$A$23,0))+INDEX('Детали оружия'!$H$6:$H$23,MATCH(R8,'Детали оружия'!$A$6:$A$23,0))+INDEX('Детали оружия'!$H$6:$H$23,MATCH(S8,'Детали оружия'!$A$6:$A$23,0))+INDEX('Детали оружия'!$H$6:$H$23,MATCH(T8,'Детали оружия'!$A$6:$A$23,0))</x:f>
        <x:v>7</x:v>
      </x:c>
      <x:c r="L8" s="12" t="n">
        <x:f>MAX(INDEX('Механизмы'!$C$6:$C$12,MATCH(P8,'Механизмы'!$A$6:$A$12,0)),INDEX('Детали оружия'!$E$6:$E$23,MATCH(Q8,'Детали оружия'!$A$6:$A$23,0)),INDEX('Детали оружия'!$E$6:$E$23,MATCH(R8,'Детали оружия'!$A$6:$A$23,0)),INDEX('Детали оружия'!$E$6:$E$23,MATCH(S8,'Детали оружия'!$A$6:$A$23,0)),INDEX('Детали оружия'!$E$6:$E$23,MATCH(T8,'Детали оружия'!$A$6:$A$23,0)))</x:f>
        <x:v>1</x:v>
      </x:c>
      <x:c r="M8" s="11" t="n">
        <x:f>'Правила'!B15*INDEX('Детали оружия'!$O$6:$O$23,MATCH(Q8,'Детали оружия'!$A$6:$A$23,0))*INDEX('Детали оружия'!$O$6:$O$23,MATCH(R8,'Детали оружия'!$A$6:$A$23,0))*INDEX('Детали оружия'!$O$6:$O$23,MATCH(S8,'Детали оружия'!$A$6:$A$23,0))*INDEX('Детали оружия'!$O$6:$O$23,MATCH(T8,'Детали оружия'!$A$6:$A$23,0))</x:f>
        <x:v>0.25</x:v>
      </x:c>
      <x:c r="N8" s="11" t="n">
        <x:f>INDEX('Механизмы'!$N$6:$N$12,MATCH(P8,'Механизмы'!$A$6:$A$12,0))*INDEX('Детали оружия'!$P$6:$P$23,MATCH(Q8,'Детали оружия'!$A$6:$A$23,0))*INDEX('Детали оружия'!$P$6:$P$23,MATCH(R8,'Детали оружия'!$A$6:$A$23,0))*INDEX('Детали оружия'!$P$6:$P$23,MATCH(S8,'Детали оружия'!$A$6:$A$23,0))*INDEX('Детали оружия'!$P$6:$P$23,MATCH(T8,'Детали оружия'!$A$6:$A$23,0))</x:f>
        <x:v>2.4</x:v>
      </x:c>
      <x:c r="O8" s="12" t="n">
        <x:f>INDEX('Механизмы'!$M$6:$M$12,MATCH(P8,'Механизмы'!$A$6:$A$12,0))</x:f>
        <x:v>8</x:v>
      </x:c>
      <x:c r="P8" s="11" t="str">
        <x:v>core.mortar</x:v>
      </x:c>
      <x:c r="Q8" s="11" t="str">
        <x:v>head.mortar</x:v>
      </x:c>
      <x:c r="R8" s="11" t="str">
        <x:v>sight.iron</x:v>
      </x:c>
      <x:c r="S8" s="11" t="str">
        <x:v>magazine.standard</x:v>
      </x:c>
      <x:c r="T8" s="11" t="str">
        <x:v>trigger.standard</x:v>
      </x:c>
    </x:row>
    <x:row r="9" ht="28" customHeight="1">
      <x:c r="A9" s="10" t="str">
        <x:v>Веерный ствол</x:v>
      </x:c>
      <x:c r="B9" s="10" t="n">
        <x:f>INDEX('Механизмы'!$G$6:$G$12,MATCH(P9,'Механизмы'!$A$6:$A$12,0))*INDEX('Детали оружия'!$I$6:$I$23,MATCH(Q9,'Детали оружия'!$A$6:$A$23,0))*INDEX('Детали оружия'!$I$6:$I$23,MATCH(R9,'Детали оружия'!$A$6:$A$23,0))*INDEX('Детали оружия'!$I$6:$I$23,MATCH(S9,'Детали оружия'!$A$6:$A$23,0))*INDEX('Детали оружия'!$I$6:$I$23,MATCH(T9,'Детали оружия'!$A$6:$A$23,0))</x:f>
        <x:v>14</x:v>
      </x:c>
      <x:c r="C9" s="10" t="n">
        <x:f>INDEX('Механизмы'!$H$6:$H$12,MATCH(P9,'Механизмы'!$A$6:$A$12,0))*INDEX('Детали оружия'!$J$6:$J$23,MATCH(Q9,'Детали оружия'!$A$6:$A$23,0))*INDEX('Детали оружия'!$J$6:$J$23,MATCH(R9,'Детали оружия'!$A$6:$A$23,0))*INDEX('Детали оружия'!$J$6:$J$23,MATCH(S9,'Детали оружия'!$A$6:$A$23,0))*INDEX('Детали оружия'!$J$6:$J$23,MATCH(T9,'Детали оружия'!$A$6:$A$23,0))</x:f>
        <x:v>0.85</x:v>
      </x:c>
      <x:c r="D9" s="13" t="n">
        <x:f>IF(INDEX('Детали оружия'!$M$6:$M$23,MATCH(T9,'Детали оружия'!$A$6:$A$23,0))&gt;0,INDEX('Детали оружия'!$M$6:$M$23,MATCH(T9,'Детали оружия'!$A$6:$A$23,0)),INDEX('Механизмы'!$K$6:$K$12,MATCH(P9,'Механизмы'!$A$6:$A$12,0))*INDEX('Детали оружия'!$L$6:$L$23,MATCH(Q9,'Детали оружия'!$A$6:$A$23,0))*INDEX('Детали оружия'!$L$6:$L$23,MATCH(R9,'Детали оружия'!$A$6:$A$23,0))*INDEX('Детали оружия'!$L$6:$L$23,MATCH(S9,'Детали оружия'!$A$6:$A$23,0))*INDEX('Детали оружия'!$L$6:$L$23,MATCH(T9,'Детали оружия'!$A$6:$A$23,0)))</x:f>
        <x:v>1</x:v>
      </x:c>
      <x:c r="E9" s="10" t="n">
        <x:f>INDEX('Механизмы'!$L$6:$L$12,MATCH(P9,'Механизмы'!$A$6:$A$12,0))*INDEX('Детали оружия'!$N$6:$N$23,MATCH(Q9,'Детали оружия'!$A$6:$A$23,0))*INDEX('Детали оружия'!$N$6:$N$23,MATCH(R9,'Детали оружия'!$A$6:$A$23,0))*INDEX('Детали оружия'!$N$6:$N$23,MATCH(S9,'Детали оружия'!$A$6:$A$23,0))*INDEX('Детали оружия'!$N$6:$N$23,MATCH(T9,'Детали оружия'!$A$6:$A$23,0))</x:f>
        <x:v>0.85</x:v>
      </x:c>
      <x:c r="F9" s="10" t="n">
        <x:f>(D9-1)*C9+E9</x:f>
        <x:v>0.85</x:v>
      </x:c>
      <x:c r="G9" s="10" t="n">
        <x:f>B9*D9/F9</x:f>
        <x:v>16.47058823529412</x:v>
      </x:c>
      <x:c r="H9" s="10" t="n">
        <x:f>INDEX('Механизмы'!$I$6:$I$12,MATCH(P9,'Механизмы'!$A$6:$A$12,0))*INDEX('Детали оружия'!$K$6:$K$23,MATCH(Q9,'Детали оружия'!$A$6:$A$23,0))*INDEX('Детали оружия'!$K$6:$K$23,MATCH(R9,'Детали оружия'!$A$6:$A$23,0))*INDEX('Детали оружия'!$K$6:$K$23,MATCH(S9,'Детали оружия'!$A$6:$A$23,0))*INDEX('Детали оружия'!$K$6:$K$23,MATCH(T9,'Детали оружия'!$A$6:$A$23,0))</x:f>
        <x:v>6</x:v>
      </x:c>
      <x:c r="I9" s="10" t="n">
        <x:f>INDEX('Механизмы'!$J$6:$J$12,MATCH(P9,'Механизмы'!$A$6:$A$12,0))</x:f>
        <x:v>0</x:v>
      </x:c>
      <x:c r="J9" s="13" t="n">
        <x:f>INDEX('Механизмы'!$E$6:$E$12,MATCH(P9,'Механизмы'!$A$6:$A$12,0))+INDEX('Детали оружия'!$G$6:$G$23,MATCH(Q9,'Детали оружия'!$A$6:$A$23,0))+INDEX('Детали оружия'!$G$6:$G$23,MATCH(R9,'Детали оружия'!$A$6:$A$23,0))+INDEX('Детали оружия'!$G$6:$G$23,MATCH(S9,'Детали оружия'!$A$6:$A$23,0))+INDEX('Детали оружия'!$G$6:$G$23,MATCH(T9,'Детали оружия'!$A$6:$A$23,0))</x:f>
        <x:v>39</x:v>
      </x:c>
      <x:c r="K9" s="13" t="n">
        <x:f>INDEX('Механизмы'!$F$6:$F$12,MATCH(P9,'Механизмы'!$A$6:$A$12,0))+INDEX('Детали оружия'!$H$6:$H$23,MATCH(Q9,'Детали оружия'!$A$6:$A$23,0))+INDEX('Детали оружия'!$H$6:$H$23,MATCH(R9,'Детали оружия'!$A$6:$A$23,0))+INDEX('Детали оружия'!$H$6:$H$23,MATCH(S9,'Детали оружия'!$A$6:$A$23,0))+INDEX('Детали оружия'!$H$6:$H$23,MATCH(T9,'Детали оружия'!$A$6:$A$23,0))</x:f>
        <x:v>5</x:v>
      </x:c>
      <x:c r="L9" s="13" t="n">
        <x:f>MAX(INDEX('Механизмы'!$C$6:$C$12,MATCH(P9,'Механизмы'!$A$6:$A$12,0)),INDEX('Детали оружия'!$E$6:$E$23,MATCH(Q9,'Детали оружия'!$A$6:$A$23,0)),INDEX('Детали оружия'!$E$6:$E$23,MATCH(R9,'Детали оружия'!$A$6:$A$23,0)),INDEX('Детали оружия'!$E$6:$E$23,MATCH(S9,'Детали оружия'!$A$6:$A$23,0)),INDEX('Детали оружия'!$E$6:$E$23,MATCH(T9,'Детали оружия'!$A$6:$A$23,0)))</x:f>
        <x:v>4</x:v>
      </x:c>
      <x:c r="M9" s="10" t="n">
        <x:f>'Правила'!B15*INDEX('Детали оружия'!$O$6:$O$23,MATCH(Q9,'Детали оружия'!$A$6:$A$23,0))*INDEX('Детали оружия'!$O$6:$O$23,MATCH(R9,'Детали оружия'!$A$6:$A$23,0))*INDEX('Детали оружия'!$O$6:$O$23,MATCH(S9,'Детали оружия'!$A$6:$A$23,0))*INDEX('Детали оружия'!$O$6:$O$23,MATCH(T9,'Детали оружия'!$A$6:$A$23,0))</x:f>
        <x:v>0.25</x:v>
      </x:c>
      <x:c r="N9" s="10" t="n">
        <x:f>INDEX('Механизмы'!$N$6:$N$12,MATCH(P9,'Механизмы'!$A$6:$A$12,0))*INDEX('Детали оружия'!$P$6:$P$23,MATCH(Q9,'Детали оружия'!$A$6:$A$23,0))*INDEX('Детали оружия'!$P$6:$P$23,MATCH(R9,'Детали оружия'!$A$6:$A$23,0))*INDEX('Детали оружия'!$P$6:$P$23,MATCH(S9,'Детали оружия'!$A$6:$A$23,0))*INDEX('Детали оружия'!$P$6:$P$23,MATCH(T9,'Детали оружия'!$A$6:$A$23,0))</x:f>
        <x:v>0.1</x:v>
      </x:c>
      <x:c r="O9" s="13" t="n">
        <x:f>INDEX('Механизмы'!$M$6:$M$12,MATCH(P9,'Механизмы'!$A$6:$A$12,0))</x:f>
        <x:v>8</x:v>
      </x:c>
      <x:c r="P9" s="10" t="str">
        <x:v>core.fan</x:v>
      </x:c>
      <x:c r="Q9" s="10" t="str">
        <x:v>head.fan</x:v>
      </x:c>
      <x:c r="R9" s="10" t="str">
        <x:v>sight.iron</x:v>
      </x:c>
      <x:c r="S9" s="10" t="str">
        <x:v>magazine.standard</x:v>
      </x:c>
      <x:c r="T9" s="10" t="str">
        <x:v>trigger.standard</x:v>
      </x:c>
    </x:row>
    <x:row r="10" ht="28" customHeight="1">
      <x:c r="A10" s="11" t="str">
        <x:v>Рикошет</x:v>
      </x:c>
      <x:c r="B10" s="11" t="n">
        <x:f>INDEX('Механизмы'!$G$6:$G$12,MATCH(P10,'Механизмы'!$A$6:$A$12,0))*INDEX('Детали оружия'!$I$6:$I$23,MATCH(Q10,'Детали оружия'!$A$6:$A$23,0))*INDEX('Детали оружия'!$I$6:$I$23,MATCH(R10,'Детали оружия'!$A$6:$A$23,0))*INDEX('Детали оружия'!$I$6:$I$23,MATCH(S10,'Детали оружия'!$A$6:$A$23,0))*INDEX('Детали оружия'!$I$6:$I$23,MATCH(T10,'Детали оружия'!$A$6:$A$23,0))</x:f>
        <x:v>12</x:v>
      </x:c>
      <x:c r="C10" s="11" t="n">
        <x:f>INDEX('Механизмы'!$H$6:$H$12,MATCH(P10,'Механизмы'!$A$6:$A$12,0))*INDEX('Детали оружия'!$J$6:$J$23,MATCH(Q10,'Детали оружия'!$A$6:$A$23,0))*INDEX('Детали оружия'!$J$6:$J$23,MATCH(R10,'Детали оружия'!$A$6:$A$23,0))*INDEX('Детали оружия'!$J$6:$J$23,MATCH(S10,'Детали оружия'!$A$6:$A$23,0))*INDEX('Детали оружия'!$J$6:$J$23,MATCH(T10,'Детали оружия'!$A$6:$A$23,0))</x:f>
        <x:v>0.9</x:v>
      </x:c>
      <x:c r="D10" s="12" t="n">
        <x:f>IF(INDEX('Детали оружия'!$M$6:$M$23,MATCH(T10,'Детали оружия'!$A$6:$A$23,0))&gt;0,INDEX('Детали оружия'!$M$6:$M$23,MATCH(T10,'Детали оружия'!$A$6:$A$23,0)),INDEX('Механизмы'!$K$6:$K$12,MATCH(P10,'Механизмы'!$A$6:$A$12,0))*INDEX('Детали оружия'!$L$6:$L$23,MATCH(Q10,'Детали оружия'!$A$6:$A$23,0))*INDEX('Детали оружия'!$L$6:$L$23,MATCH(R10,'Детали оружия'!$A$6:$A$23,0))*INDEX('Детали оружия'!$L$6:$L$23,MATCH(S10,'Детали оружия'!$A$6:$A$23,0))*INDEX('Детали оружия'!$L$6:$L$23,MATCH(T10,'Детали оружия'!$A$6:$A$23,0)))</x:f>
        <x:v>1</x:v>
      </x:c>
      <x:c r="E10" s="11" t="n">
        <x:f>INDEX('Механизмы'!$L$6:$L$12,MATCH(P10,'Механизмы'!$A$6:$A$12,0))*INDEX('Детали оружия'!$N$6:$N$23,MATCH(Q10,'Детали оружия'!$A$6:$A$23,0))*INDEX('Детали оружия'!$N$6:$N$23,MATCH(R10,'Детали оружия'!$A$6:$A$23,0))*INDEX('Детали оружия'!$N$6:$N$23,MATCH(S10,'Детали оружия'!$A$6:$A$23,0))*INDEX('Детали оружия'!$N$6:$N$23,MATCH(T10,'Детали оружия'!$A$6:$A$23,0))</x:f>
        <x:v>0.9</x:v>
      </x:c>
      <x:c r="F10" s="11" t="n">
        <x:f>(D10-1)*C10+E10</x:f>
        <x:v>0.9</x:v>
      </x:c>
      <x:c r="G10" s="11" t="n">
        <x:f>B10*D10/F10</x:f>
        <x:v>13.333333333333332</x:v>
      </x:c>
      <x:c r="H10" s="11" t="n">
        <x:f>INDEX('Механизмы'!$I$6:$I$12,MATCH(P10,'Механизмы'!$A$6:$A$12,0))*INDEX('Детали оружия'!$K$6:$K$23,MATCH(Q10,'Детали оружия'!$A$6:$A$23,0))*INDEX('Детали оружия'!$K$6:$K$23,MATCH(R10,'Детали оружия'!$A$6:$A$23,0))*INDEX('Детали оружия'!$K$6:$K$23,MATCH(S10,'Детали оружия'!$A$6:$A$23,0))*INDEX('Детали оружия'!$K$6:$K$23,MATCH(T10,'Детали оружия'!$A$6:$A$23,0))</x:f>
        <x:v>10</x:v>
      </x:c>
      <x:c r="I10" s="11" t="n">
        <x:f>INDEX('Механизмы'!$J$6:$J$12,MATCH(P10,'Механизмы'!$A$6:$A$12,0))</x:f>
        <x:v>0</x:v>
      </x:c>
      <x:c r="J10" s="12" t="n">
        <x:f>INDEX('Механизмы'!$E$6:$E$12,MATCH(P10,'Механизмы'!$A$6:$A$12,0))+INDEX('Детали оружия'!$G$6:$G$23,MATCH(Q10,'Детали оружия'!$A$6:$A$23,0))+INDEX('Детали оружия'!$G$6:$G$23,MATCH(R10,'Детали оружия'!$A$6:$A$23,0))+INDEX('Детали оружия'!$G$6:$G$23,MATCH(S10,'Детали оружия'!$A$6:$A$23,0))+INDEX('Детали оружия'!$G$6:$G$23,MATCH(T10,'Детали оружия'!$A$6:$A$23,0))</x:f>
        <x:v>52</x:v>
      </x:c>
      <x:c r="K10" s="12" t="n">
        <x:f>INDEX('Механизмы'!$F$6:$F$12,MATCH(P10,'Механизмы'!$A$6:$A$12,0))+INDEX('Детали оружия'!$H$6:$H$23,MATCH(Q10,'Детали оружия'!$A$6:$A$23,0))+INDEX('Детали оружия'!$H$6:$H$23,MATCH(R10,'Детали оружия'!$A$6:$A$23,0))+INDEX('Детали оружия'!$H$6:$H$23,MATCH(S10,'Детали оружия'!$A$6:$A$23,0))+INDEX('Детали оружия'!$H$6:$H$23,MATCH(T10,'Детали оружия'!$A$6:$A$23,0))</x:f>
        <x:v>5</x:v>
      </x:c>
      <x:c r="L10" s="12" t="n">
        <x:f>MAX(INDEX('Механизмы'!$C$6:$C$12,MATCH(P10,'Механизмы'!$A$6:$A$12,0)),INDEX('Детали оружия'!$E$6:$E$23,MATCH(Q10,'Детали оружия'!$A$6:$A$23,0)),INDEX('Детали оружия'!$E$6:$E$23,MATCH(R10,'Детали оружия'!$A$6:$A$23,0)),INDEX('Детали оружия'!$E$6:$E$23,MATCH(S10,'Детали оружия'!$A$6:$A$23,0)),INDEX('Детали оружия'!$E$6:$E$23,MATCH(T10,'Детали оружия'!$A$6:$A$23,0)))</x:f>
        <x:v>6</x:v>
      </x:c>
      <x:c r="M10" s="11" t="n">
        <x:f>'Правила'!B15*INDEX('Детали оружия'!$O$6:$O$23,MATCH(Q10,'Детали оружия'!$A$6:$A$23,0))*INDEX('Детали оружия'!$O$6:$O$23,MATCH(R10,'Детали оружия'!$A$6:$A$23,0))*INDEX('Детали оружия'!$O$6:$O$23,MATCH(S10,'Детали оружия'!$A$6:$A$23,0))*INDEX('Детали оружия'!$O$6:$O$23,MATCH(T10,'Детали оружия'!$A$6:$A$23,0))</x:f>
        <x:v>0.25</x:v>
      </x:c>
      <x:c r="N10" s="11" t="n">
        <x:f>INDEX('Механизмы'!$N$6:$N$12,MATCH(P10,'Механизмы'!$A$6:$A$12,0))*INDEX('Детали оружия'!$P$6:$P$23,MATCH(Q10,'Детали оружия'!$A$6:$A$23,0))*INDEX('Детали оружия'!$P$6:$P$23,MATCH(R10,'Детали оружия'!$A$6:$A$23,0))*INDEX('Детали оружия'!$P$6:$P$23,MATCH(S10,'Детали оружия'!$A$6:$A$23,0))*INDEX('Детали оружия'!$P$6:$P$23,MATCH(T10,'Детали оружия'!$A$6:$A$23,0))</x:f>
        <x:v>0.1</x:v>
      </x:c>
      <x:c r="O10" s="12" t="n">
        <x:f>INDEX('Механизмы'!$M$6:$M$12,MATCH(P10,'Механизмы'!$A$6:$A$12,0))</x:f>
        <x:v>4</x:v>
      </x:c>
      <x:c r="P10" s="11" t="str">
        <x:v>core.ricochet</x:v>
      </x:c>
      <x:c r="Q10" s="11" t="str">
        <x:v>head.ricochet</x:v>
      </x:c>
      <x:c r="R10" s="11" t="str">
        <x:v>sight.iron</x:v>
      </x:c>
      <x:c r="S10" s="11" t="str">
        <x:v>magazine.standard</x:v>
      </x:c>
      <x:c r="T10" s="11" t="str">
        <x:v>trigger.standard</x:v>
      </x:c>
    </x:row>
    <x:row r="11" ht="28" customHeight="1">
      <x:c r="A11" s="10" t="str">
        <x:v>Степлер</x:v>
      </x:c>
      <x:c r="B11" s="10" t="n">
        <x:f>INDEX('Механизмы'!$G$6:$G$12,MATCH(P11,'Механизмы'!$A$6:$A$12,0))*INDEX('Детали оружия'!$I$6:$I$23,MATCH(Q11,'Детали оружия'!$A$6:$A$23,0))*INDEX('Детали оружия'!$I$6:$I$23,MATCH(R11,'Детали оружия'!$A$6:$A$23,0))*INDEX('Детали оружия'!$I$6:$I$23,MATCH(S11,'Детали оружия'!$A$6:$A$23,0))*INDEX('Детали оружия'!$I$6:$I$23,MATCH(T11,'Детали оружия'!$A$6:$A$23,0))</x:f>
        <x:v>5</x:v>
      </x:c>
      <x:c r="C11" s="10" t="n">
        <x:f>INDEX('Механизмы'!$H$6:$H$12,MATCH(P11,'Механизмы'!$A$6:$A$12,0))*INDEX('Детали оружия'!$J$6:$J$23,MATCH(Q11,'Детали оружия'!$A$6:$A$23,0))*INDEX('Детали оружия'!$J$6:$J$23,MATCH(R11,'Детали оружия'!$A$6:$A$23,0))*INDEX('Детали оружия'!$J$6:$J$23,MATCH(S11,'Детали оружия'!$A$6:$A$23,0))*INDEX('Детали оружия'!$J$6:$J$23,MATCH(T11,'Детали оружия'!$A$6:$A$23,0))</x:f>
        <x:v>0.6</x:v>
      </x:c>
      <x:c r="D11" s="13" t="n">
        <x:f>IF(INDEX('Детали оружия'!$M$6:$M$23,MATCH(T11,'Детали оружия'!$A$6:$A$23,0))&gt;0,INDEX('Детали оружия'!$M$6:$M$23,MATCH(T11,'Детали оружия'!$A$6:$A$23,0)),INDEX('Механизмы'!$K$6:$K$12,MATCH(P11,'Механизмы'!$A$6:$A$12,0))*INDEX('Детали оружия'!$L$6:$L$23,MATCH(Q11,'Детали оружия'!$A$6:$A$23,0))*INDEX('Детали оружия'!$L$6:$L$23,MATCH(R11,'Детали оружия'!$A$6:$A$23,0))*INDEX('Детали оружия'!$L$6:$L$23,MATCH(S11,'Детали оружия'!$A$6:$A$23,0))*INDEX('Детали оружия'!$L$6:$L$23,MATCH(T11,'Детали оружия'!$A$6:$A$23,0)))</x:f>
        <x:v>4</x:v>
      </x:c>
      <x:c r="E11" s="10" t="n">
        <x:f>INDEX('Механизмы'!$L$6:$L$12,MATCH(P11,'Механизмы'!$A$6:$A$12,0))*INDEX('Детали оружия'!$N$6:$N$23,MATCH(Q11,'Детали оружия'!$A$6:$A$23,0))*INDEX('Детали оружия'!$N$6:$N$23,MATCH(R11,'Детали оружия'!$A$6:$A$23,0))*INDEX('Детали оружия'!$N$6:$N$23,MATCH(S11,'Детали оружия'!$A$6:$A$23,0))*INDEX('Детали оружия'!$N$6:$N$23,MATCH(T11,'Детали оружия'!$A$6:$A$23,0))</x:f>
        <x:v>0.6</x:v>
      </x:c>
      <x:c r="F11" s="10" t="n">
        <x:f>(D11-1)*C11+E11</x:f>
        <x:v>2.4</x:v>
      </x:c>
      <x:c r="G11" s="10" t="n">
        <x:f>B11*D11/F11</x:f>
        <x:v>8.333333333333334</x:v>
      </x:c>
      <x:c r="H11" s="10" t="n">
        <x:f>INDEX('Механизмы'!$I$6:$I$12,MATCH(P11,'Механизмы'!$A$6:$A$12,0))*INDEX('Детали оружия'!$K$6:$K$23,MATCH(Q11,'Детали оружия'!$A$6:$A$23,0))*INDEX('Детали оружия'!$K$6:$K$23,MATCH(R11,'Детали оружия'!$A$6:$A$23,0))*INDEX('Детали оружия'!$K$6:$K$23,MATCH(S11,'Детали оружия'!$A$6:$A$23,0))*INDEX('Детали оружия'!$K$6:$K$23,MATCH(T11,'Детали оружия'!$A$6:$A$23,0))</x:f>
        <x:v>9</x:v>
      </x:c>
      <x:c r="I11" s="10" t="n">
        <x:f>INDEX('Механизмы'!$J$6:$J$12,MATCH(P11,'Механизмы'!$A$6:$A$12,0))</x:f>
        <x:v>0</x:v>
      </x:c>
      <x:c r="J11" s="13" t="n">
        <x:f>INDEX('Механизмы'!$E$6:$E$12,MATCH(P11,'Механизмы'!$A$6:$A$12,0))+INDEX('Детали оружия'!$G$6:$G$23,MATCH(Q11,'Детали оружия'!$A$6:$A$23,0))+INDEX('Детали оружия'!$G$6:$G$23,MATCH(R11,'Детали оружия'!$A$6:$A$23,0))+INDEX('Детали оружия'!$G$6:$G$23,MATCH(S11,'Детали оружия'!$A$6:$A$23,0))+INDEX('Детали оружия'!$G$6:$G$23,MATCH(T11,'Детали оружия'!$A$6:$A$23,0))</x:f>
        <x:v>12</x:v>
      </x:c>
      <x:c r="K11" s="13" t="n">
        <x:f>INDEX('Механизмы'!$F$6:$F$12,MATCH(P11,'Механизмы'!$A$6:$A$12,0))+INDEX('Детали оружия'!$H$6:$H$23,MATCH(Q11,'Детали оружия'!$A$6:$A$23,0))+INDEX('Детали оружия'!$H$6:$H$23,MATCH(R11,'Детали оружия'!$A$6:$A$23,0))+INDEX('Детали оружия'!$H$6:$H$23,MATCH(S11,'Детали оружия'!$A$6:$A$23,0))+INDEX('Детали оружия'!$H$6:$H$23,MATCH(T11,'Детали оружия'!$A$6:$A$23,0))</x:f>
        <x:v>2</x:v>
      </x:c>
      <x:c r="L11" s="13" t="n">
        <x:f>MAX(INDEX('Механизмы'!$C$6:$C$12,MATCH(P11,'Механизмы'!$A$6:$A$12,0)),INDEX('Детали оружия'!$E$6:$E$23,MATCH(Q11,'Детали оружия'!$A$6:$A$23,0)),INDEX('Детали оружия'!$E$6:$E$23,MATCH(R11,'Детали оружия'!$A$6:$A$23,0)),INDEX('Детали оружия'!$E$6:$E$23,MATCH(S11,'Детали оружия'!$A$6:$A$23,0)),INDEX('Детали оружия'!$E$6:$E$23,MATCH(T11,'Детали оружия'!$A$6:$A$23,0)))</x:f>
        <x:v>2</x:v>
      </x:c>
      <x:c r="M11" s="10" t="n">
        <x:f>'Правила'!B15*INDEX('Детали оружия'!$O$6:$O$23,MATCH(Q11,'Детали оружия'!$A$6:$A$23,0))*INDEX('Детали оружия'!$O$6:$O$23,MATCH(R11,'Детали оружия'!$A$6:$A$23,0))*INDEX('Детали оружия'!$O$6:$O$23,MATCH(S11,'Детали оружия'!$A$6:$A$23,0))*INDEX('Детали оружия'!$O$6:$O$23,MATCH(T11,'Детали оружия'!$A$6:$A$23,0))</x:f>
        <x:v>0.25</x:v>
      </x:c>
      <x:c r="N11" s="10" t="n">
        <x:f>INDEX('Механизмы'!$N$6:$N$12,MATCH(P11,'Механизмы'!$A$6:$A$12,0))*INDEX('Детали оружия'!$P$6:$P$23,MATCH(Q11,'Детали оружия'!$A$6:$A$23,0))*INDEX('Детали оружия'!$P$6:$P$23,MATCH(R11,'Детали оружия'!$A$6:$A$23,0))*INDEX('Детали оружия'!$P$6:$P$23,MATCH(S11,'Детали оружия'!$A$6:$A$23,0))*INDEX('Детали оружия'!$P$6:$P$23,MATCH(T11,'Детали оружия'!$A$6:$A$23,0))</x:f>
        <x:v>0.1</x:v>
      </x:c>
      <x:c r="O11" s="13" t="n">
        <x:f>INDEX('Механизмы'!$M$6:$M$12,MATCH(P11,'Механизмы'!$A$6:$A$12,0))</x:f>
        <x:v>1</x:v>
      </x:c>
      <x:c r="P11" s="10" t="str">
        <x:v>core.stapler</x:v>
      </x:c>
      <x:c r="Q11" s="10" t="str">
        <x:v>head.stapler</x:v>
      </x:c>
      <x:c r="R11" s="10" t="str">
        <x:v>sight.iron</x:v>
      </x:c>
      <x:c r="S11" s="10" t="str">
        <x:v>magazine.standard</x:v>
      </x:c>
      <x:c r="T11" s="10" t="str">
        <x:v>trigger.standard</x:v>
      </x:c>
    </x:row>
    <x:row r="12" ht="28" customHeight="1">
      <x:c r="A12" s="11" t="str">
        <x:v>Промокашка</x:v>
      </x:c>
      <x:c r="B12" s="11" t="n">
        <x:f>INDEX('Механизмы'!$G$6:$G$12,MATCH(P12,'Механизмы'!$A$6:$A$12,0))*INDEX('Детали оружия'!$I$6:$I$23,MATCH(Q12,'Детали оружия'!$A$6:$A$23,0))*INDEX('Детали оружия'!$I$6:$I$23,MATCH(R12,'Детали оружия'!$A$6:$A$23,0))*INDEX('Детали оружия'!$I$6:$I$23,MATCH(S12,'Детали оружия'!$A$6:$A$23,0))*INDEX('Детали оружия'!$I$6:$I$23,MATCH(T12,'Детали оружия'!$A$6:$A$23,0))</x:f>
        <x:v>0</x:v>
      </x:c>
      <x:c r="C12" s="11" t="n">
        <x:f>INDEX('Механизмы'!$H$6:$H$12,MATCH(P12,'Механизмы'!$A$6:$A$12,0))*INDEX('Детали оружия'!$J$6:$J$23,MATCH(Q12,'Детали оружия'!$A$6:$A$23,0))*INDEX('Детали оружия'!$J$6:$J$23,MATCH(R12,'Детали оружия'!$A$6:$A$23,0))*INDEX('Детали оружия'!$J$6:$J$23,MATCH(S12,'Детали оружия'!$A$6:$A$23,0))*INDEX('Детали оружия'!$J$6:$J$23,MATCH(T12,'Детали оружия'!$A$6:$A$23,0))</x:f>
        <x:v>1.4</x:v>
      </x:c>
      <x:c r="D12" s="12" t="n">
        <x:f>IF(INDEX('Детали оружия'!$M$6:$M$23,MATCH(T12,'Детали оружия'!$A$6:$A$23,0))&gt;0,INDEX('Детали оружия'!$M$6:$M$23,MATCH(T12,'Детали оружия'!$A$6:$A$23,0)),INDEX('Механизмы'!$K$6:$K$12,MATCH(P12,'Механизмы'!$A$6:$A$12,0))*INDEX('Детали оружия'!$L$6:$L$23,MATCH(Q12,'Детали оружия'!$A$6:$A$23,0))*INDEX('Детали оружия'!$L$6:$L$23,MATCH(R12,'Детали оружия'!$A$6:$A$23,0))*INDEX('Детали оружия'!$L$6:$L$23,MATCH(S12,'Детали оружия'!$A$6:$A$23,0))*INDEX('Детали оружия'!$L$6:$L$23,MATCH(T12,'Детали оружия'!$A$6:$A$23,0)))</x:f>
        <x:v>1</x:v>
      </x:c>
      <x:c r="E12" s="11" t="n">
        <x:f>INDEX('Механизмы'!$L$6:$L$12,MATCH(P12,'Механизмы'!$A$6:$A$12,0))*INDEX('Детали оружия'!$N$6:$N$23,MATCH(Q12,'Детали оружия'!$A$6:$A$23,0))*INDEX('Детали оружия'!$N$6:$N$23,MATCH(R12,'Детали оружия'!$A$6:$A$23,0))*INDEX('Детали оружия'!$N$6:$N$23,MATCH(S12,'Детали оружия'!$A$6:$A$23,0))*INDEX('Детали оружия'!$N$6:$N$23,MATCH(T12,'Детали оружия'!$A$6:$A$23,0))</x:f>
        <x:v>1.4</x:v>
      </x:c>
      <x:c r="F12" s="11" t="n">
        <x:f>(D12-1)*C12+E12</x:f>
        <x:v>1.4</x:v>
      </x:c>
      <x:c r="G12" s="11" t="n">
        <x:f>B12*D12/F12</x:f>
        <x:v>0</x:v>
      </x:c>
      <x:c r="H12" s="11" t="n">
        <x:f>INDEX('Механизмы'!$I$6:$I$12,MATCH(P12,'Механизмы'!$A$6:$A$12,0))*INDEX('Детали оружия'!$K$6:$K$23,MATCH(Q12,'Детали оружия'!$A$6:$A$23,0))*INDEX('Детали оружия'!$K$6:$K$23,MATCH(R12,'Детали оружия'!$A$6:$A$23,0))*INDEX('Детали оружия'!$K$6:$K$23,MATCH(S12,'Детали оружия'!$A$6:$A$23,0))*INDEX('Детали оружия'!$K$6:$K$23,MATCH(T12,'Детали оружия'!$A$6:$A$23,0))</x:f>
        <x:v>9</x:v>
      </x:c>
      <x:c r="I12" s="11" t="n">
        <x:f>INDEX('Механизмы'!$J$6:$J$12,MATCH(P12,'Механизмы'!$A$6:$A$12,0))</x:f>
        <x:v>0</x:v>
      </x:c>
      <x:c r="J12" s="12" t="n">
        <x:f>INDEX('Механизмы'!$E$6:$E$12,MATCH(P12,'Механизмы'!$A$6:$A$12,0))+INDEX('Детали оружия'!$G$6:$G$23,MATCH(Q12,'Детали оружия'!$A$6:$A$23,0))+INDEX('Детали оружия'!$G$6:$G$23,MATCH(R12,'Детали оружия'!$A$6:$A$23,0))+INDEX('Детали оружия'!$G$6:$G$23,MATCH(S12,'Детали оружия'!$A$6:$A$23,0))+INDEX('Детали оружия'!$G$6:$G$23,MATCH(T12,'Детали оружия'!$A$6:$A$23,0))</x:f>
        <x:v>8</x:v>
      </x:c>
      <x:c r="K12" s="12" t="n">
        <x:f>INDEX('Механизмы'!$F$6:$F$12,MATCH(P12,'Механизмы'!$A$6:$A$12,0))+INDEX('Детали оружия'!$H$6:$H$23,MATCH(Q12,'Детали оружия'!$A$6:$A$23,0))+INDEX('Детали оружия'!$H$6:$H$23,MATCH(R12,'Детали оружия'!$A$6:$A$23,0))+INDEX('Детали оружия'!$H$6:$H$23,MATCH(S12,'Детали оружия'!$A$6:$A$23,0))+INDEX('Детали оружия'!$H$6:$H$23,MATCH(T12,'Детали оружия'!$A$6:$A$23,0))</x:f>
        <x:v>2</x:v>
      </x:c>
      <x:c r="L12" s="12" t="n">
        <x:f>MAX(INDEX('Механизмы'!$C$6:$C$12,MATCH(P12,'Механизмы'!$A$6:$A$12,0)),INDEX('Детали оружия'!$E$6:$E$23,MATCH(Q12,'Детали оружия'!$A$6:$A$23,0)),INDEX('Детали оружия'!$E$6:$E$23,MATCH(R12,'Детали оружия'!$A$6:$A$23,0)),INDEX('Детали оружия'!$E$6:$E$23,MATCH(S12,'Детали оружия'!$A$6:$A$23,0)),INDEX('Детали оружия'!$E$6:$E$23,MATCH(T12,'Детали оружия'!$A$6:$A$23,0)))</x:f>
        <x:v>3</x:v>
      </x:c>
      <x:c r="M12" s="11" t="n">
        <x:f>'Правила'!B15*INDEX('Детали оружия'!$O$6:$O$23,MATCH(Q12,'Детали оружия'!$A$6:$A$23,0))*INDEX('Детали оружия'!$O$6:$O$23,MATCH(R12,'Детали оружия'!$A$6:$A$23,0))*INDEX('Детали оружия'!$O$6:$O$23,MATCH(S12,'Детали оружия'!$A$6:$A$23,0))*INDEX('Детали оружия'!$O$6:$O$23,MATCH(T12,'Детали оружия'!$A$6:$A$23,0))</x:f>
        <x:v>0.25</x:v>
      </x:c>
      <x:c r="N12" s="11" t="n">
        <x:f>INDEX('Механизмы'!$N$6:$N$12,MATCH(P12,'Механизмы'!$A$6:$A$12,0))*INDEX('Детали оружия'!$P$6:$P$23,MATCH(Q12,'Детали оружия'!$A$6:$A$23,0))*INDEX('Детали оружия'!$P$6:$P$23,MATCH(R12,'Детали оружия'!$A$6:$A$23,0))*INDEX('Детали оружия'!$P$6:$P$23,MATCH(S12,'Детали оружия'!$A$6:$A$23,0))*INDEX('Детали оружия'!$P$6:$P$23,MATCH(T12,'Детали оружия'!$A$6:$A$23,0))</x:f>
        <x:v>2</x:v>
      </x:c>
      <x:c r="O12" s="12" t="n">
        <x:f>INDEX('Механизмы'!$M$6:$M$12,MATCH(P12,'Механизмы'!$A$6:$A$12,0))</x:f>
        <x:v>0</x:v>
      </x:c>
      <x:c r="P12" s="11" t="str">
        <x:v>core.blotter</x:v>
      </x:c>
      <x:c r="Q12" s="11" t="str">
        <x:v>head.blotter</x:v>
      </x:c>
      <x:c r="R12" s="11" t="str">
        <x:v>sight.iron</x:v>
      </x:c>
      <x:c r="S12" s="11" t="str">
        <x:v>magazine.standard</x:v>
      </x:c>
      <x:c r="T12" s="11" t="str">
        <x:v>trigger.standard</x:v>
      </x:c>
    </x:row>
    <x:row r="13" ht="28" customHeight="1">
      <x:c r="A13" s="10" t="str">
        <x:v>Короткий дозор</x:v>
      </x:c>
      <x:c r="B13" s="10" t="n">
        <x:f>INDEX('Механизмы'!$G$6:$G$12,MATCH(P13,'Механизмы'!$A$6:$A$12,0))*INDEX('Детали оружия'!$I$6:$I$23,MATCH(Q13,'Детали оружия'!$A$6:$A$23,0))*INDEX('Детали оружия'!$I$6:$I$23,MATCH(R13,'Детали оружия'!$A$6:$A$23,0))*INDEX('Детали оружия'!$I$6:$I$23,MATCH(S13,'Детали оружия'!$A$6:$A$23,0))*INDEX('Детали оружия'!$I$6:$I$23,MATCH(T13,'Детали оружия'!$A$6:$A$23,0))</x:f>
        <x:v>10.8</x:v>
      </x:c>
      <x:c r="C13" s="10" t="n">
        <x:f>INDEX('Механизмы'!$H$6:$H$12,MATCH(P13,'Механизмы'!$A$6:$A$12,0))*INDEX('Детали оружия'!$J$6:$J$23,MATCH(Q13,'Детали оружия'!$A$6:$A$23,0))*INDEX('Детали оружия'!$J$6:$J$23,MATCH(R13,'Детали оружия'!$A$6:$A$23,0))*INDEX('Детали оружия'!$J$6:$J$23,MATCH(S13,'Детали оружия'!$A$6:$A$23,0))*INDEX('Детали оружия'!$J$6:$J$23,MATCH(T13,'Детали оружия'!$A$6:$A$23,0))</x:f>
        <x:v>0.357</x:v>
      </x:c>
      <x:c r="D13" s="13" t="n">
        <x:f>IF(INDEX('Детали оружия'!$M$6:$M$23,MATCH(T13,'Детали оружия'!$A$6:$A$23,0))&gt;0,INDEX('Детали оружия'!$M$6:$M$23,MATCH(T13,'Детали оружия'!$A$6:$A$23,0)),INDEX('Механизмы'!$K$6:$K$12,MATCH(P13,'Механизмы'!$A$6:$A$12,0))*INDEX('Детали оружия'!$L$6:$L$23,MATCH(Q13,'Детали оружия'!$A$6:$A$23,0))*INDEX('Детали оружия'!$L$6:$L$23,MATCH(R13,'Детали оружия'!$A$6:$A$23,0))*INDEX('Детали оружия'!$L$6:$L$23,MATCH(S13,'Детали оружия'!$A$6:$A$23,0))*INDEX('Детали оружия'!$L$6:$L$23,MATCH(T13,'Детали оружия'!$A$6:$A$23,0)))</x:f>
        <x:v>6</x:v>
      </x:c>
      <x:c r="E13" s="10" t="n">
        <x:f>INDEX('Механизмы'!$L$6:$L$12,MATCH(P13,'Механизмы'!$A$6:$A$12,0))*INDEX('Детали оружия'!$N$6:$N$23,MATCH(Q13,'Детали оружия'!$A$6:$A$23,0))*INDEX('Детали оружия'!$N$6:$N$23,MATCH(R13,'Детали оружия'!$A$6:$A$23,0))*INDEX('Детали оружия'!$N$6:$N$23,MATCH(S13,'Детали оружия'!$A$6:$A$23,0))*INDEX('Детали оружия'!$N$6:$N$23,MATCH(T13,'Детали оружия'!$A$6:$A$23,0))</x:f>
        <x:v>0.357</x:v>
      </x:c>
      <x:c r="F13" s="10" t="n">
        <x:f>(D13-1)*C13+E13</x:f>
        <x:v>2.142</x:v>
      </x:c>
      <x:c r="G13" s="10" t="n">
        <x:f>B13*D13/F13</x:f>
        <x:v>30.25210084033614</x:v>
      </x:c>
      <x:c r="H13" s="10" t="n">
        <x:f>INDEX('Механизмы'!$I$6:$I$12,MATCH(P13,'Механизмы'!$A$6:$A$12,0))*INDEX('Детали оружия'!$K$6:$K$23,MATCH(Q13,'Детали оружия'!$A$6:$A$23,0))*INDEX('Детали оружия'!$K$6:$K$23,MATCH(R13,'Детали оружия'!$A$6:$A$23,0))*INDEX('Детали оружия'!$K$6:$K$23,MATCH(S13,'Детали оружия'!$A$6:$A$23,0))*INDEX('Детали оружия'!$K$6:$K$23,MATCH(T13,'Детали оружия'!$A$6:$A$23,0))</x:f>
        <x:v>6.4</x:v>
      </x:c>
      <x:c r="I13" s="10" t="n">
        <x:f>INDEX('Механизмы'!$J$6:$J$12,MATCH(P13,'Механизмы'!$A$6:$A$12,0))</x:f>
        <x:v>0</x:v>
      </x:c>
      <x:c r="J13" s="13" t="n">
        <x:f>INDEX('Механизмы'!$E$6:$E$12,MATCH(P13,'Механизмы'!$A$6:$A$12,0))+INDEX('Детали оружия'!$G$6:$G$23,MATCH(Q13,'Детали оружия'!$A$6:$A$23,0))+INDEX('Детали оружия'!$G$6:$G$23,MATCH(R13,'Детали оружия'!$A$6:$A$23,0))+INDEX('Детали оружия'!$G$6:$G$23,MATCH(S13,'Детали оружия'!$A$6:$A$23,0))+INDEX('Детали оружия'!$G$6:$G$23,MATCH(T13,'Детали оружия'!$A$6:$A$23,0))</x:f>
        <x:v>20</x:v>
      </x:c>
      <x:c r="K13" s="13" t="n">
        <x:f>INDEX('Механизмы'!$F$6:$F$12,MATCH(P13,'Механизмы'!$A$6:$A$12,0))+INDEX('Детали оружия'!$H$6:$H$23,MATCH(Q13,'Детали оружия'!$A$6:$A$23,0))+INDEX('Детали оружия'!$H$6:$H$23,MATCH(R13,'Детали оружия'!$A$6:$A$23,0))+INDEX('Детали оружия'!$H$6:$H$23,MATCH(S13,'Детали оружия'!$A$6:$A$23,0))+INDEX('Детали оружия'!$H$6:$H$23,MATCH(T13,'Детали оружия'!$A$6:$A$23,0))</x:f>
        <x:v>3</x:v>
      </x:c>
      <x:c r="L13" s="13" t="n">
        <x:f>MAX(INDEX('Механизмы'!$C$6:$C$12,MATCH(P13,'Механизмы'!$A$6:$A$12,0)),INDEX('Детали оружия'!$E$6:$E$23,MATCH(Q13,'Детали оружия'!$A$6:$A$23,0)),INDEX('Детали оружия'!$E$6:$E$23,MATCH(R13,'Детали оружия'!$A$6:$A$23,0)),INDEX('Детали оружия'!$E$6:$E$23,MATCH(S13,'Детали оружия'!$A$6:$A$23,0)),INDEX('Детали оружия'!$E$6:$E$23,MATCH(T13,'Детали оружия'!$A$6:$A$23,0)))</x:f>
        <x:v>2</x:v>
      </x:c>
      <x:c r="M13" s="10" t="n">
        <x:f>'Правила'!B15*INDEX('Детали оружия'!$O$6:$O$23,MATCH(Q13,'Детали оружия'!$A$6:$A$23,0))*INDEX('Детали оружия'!$O$6:$O$23,MATCH(R13,'Детали оружия'!$A$6:$A$23,0))*INDEX('Детали оружия'!$O$6:$O$23,MATCH(S13,'Детали оружия'!$A$6:$A$23,0))*INDEX('Детали оружия'!$O$6:$O$23,MATCH(T13,'Детали оружия'!$A$6:$A$23,0))</x:f>
        <x:v>0.25</x:v>
      </x:c>
      <x:c r="N13" s="10" t="n">
        <x:f>INDEX('Механизмы'!$N$6:$N$12,MATCH(P13,'Механизмы'!$A$6:$A$12,0))*INDEX('Детали оружия'!$P$6:$P$23,MATCH(Q13,'Детали оружия'!$A$6:$A$23,0))*INDEX('Детали оружия'!$P$6:$P$23,MATCH(R13,'Детали оружия'!$A$6:$A$23,0))*INDEX('Детали оружия'!$P$6:$P$23,MATCH(S13,'Детали оружия'!$A$6:$A$23,0))*INDEX('Детали оружия'!$P$6:$P$23,MATCH(T13,'Детали оружия'!$A$6:$A$23,0))</x:f>
        <x:v>0.1</x:v>
      </x:c>
      <x:c r="O13" s="13" t="n">
        <x:f>INDEX('Механизмы'!$M$6:$M$12,MATCH(P13,'Механизмы'!$A$6:$A$12,0))</x:f>
        <x:v>1</x:v>
      </x:c>
      <x:c r="P13" s="10" t="str">
        <x:v>core.gun</x:v>
      </x:c>
      <x:c r="Q13" s="10" t="str">
        <x:v>head.short</x:v>
      </x:c>
      <x:c r="R13" s="10" t="str">
        <x:v>sight.iron</x:v>
      </x:c>
      <x:c r="S13" s="10" t="str">
        <x:v>magazine.standard</x:v>
      </x:c>
      <x:c r="T13" s="10" t="str">
        <x:v>trigger.standard</x:v>
      </x:c>
    </x:row>
    <x:row r="14" ht="28" customHeight="1">
      <x:c r="A14" s="11" t="str">
        <x:v>Дальний пробой</x:v>
      </x:c>
      <x:c r="B14" s="11" t="n">
        <x:f>INDEX('Механизмы'!$G$6:$G$12,MATCH(P14,'Механизмы'!$A$6:$A$12,0))*INDEX('Детали оружия'!$I$6:$I$23,MATCH(Q14,'Детали оружия'!$A$6:$A$23,0))*INDEX('Детали оружия'!$I$6:$I$23,MATCH(R14,'Детали оружия'!$A$6:$A$23,0))*INDEX('Детали оружия'!$I$6:$I$23,MATCH(S14,'Детали оружия'!$A$6:$A$23,0))*INDEX('Детали оружия'!$I$6:$I$23,MATCH(T14,'Детали оружия'!$A$6:$A$23,0))</x:f>
        <x:v>22</x:v>
      </x:c>
      <x:c r="C14" s="11" t="n">
        <x:f>INDEX('Механизмы'!$H$6:$H$12,MATCH(P14,'Механизмы'!$A$6:$A$12,0))*INDEX('Детали оружия'!$J$6:$J$23,MATCH(Q14,'Детали оружия'!$A$6:$A$23,0))*INDEX('Детали оружия'!$J$6:$J$23,MATCH(R14,'Детали оружия'!$A$6:$A$23,0))*INDEX('Детали оружия'!$J$6:$J$23,MATCH(S14,'Детали оружия'!$A$6:$A$23,0))*INDEX('Детали оружия'!$J$6:$J$23,MATCH(T14,'Детали оружия'!$A$6:$A$23,0))</x:f>
        <x:v>1.2</x:v>
      </x:c>
      <x:c r="D14" s="12" t="n">
        <x:f>IF(INDEX('Детали оружия'!$M$6:$M$23,MATCH(T14,'Детали оружия'!$A$6:$A$23,0))&gt;0,INDEX('Детали оружия'!$M$6:$M$23,MATCH(T14,'Детали оружия'!$A$6:$A$23,0)),INDEX('Механизмы'!$K$6:$K$12,MATCH(P14,'Механизмы'!$A$6:$A$12,0))*INDEX('Детали оружия'!$L$6:$L$23,MATCH(Q14,'Детали оружия'!$A$6:$A$23,0))*INDEX('Детали оружия'!$L$6:$L$23,MATCH(R14,'Детали оружия'!$A$6:$A$23,0))*INDEX('Детали оружия'!$L$6:$L$23,MATCH(S14,'Детали оружия'!$A$6:$A$23,0))*INDEX('Детали оружия'!$L$6:$L$23,MATCH(T14,'Детали оружия'!$A$6:$A$23,0)))</x:f>
        <x:v>1</x:v>
      </x:c>
      <x:c r="E14" s="11" t="n">
        <x:f>INDEX('Механизмы'!$L$6:$L$12,MATCH(P14,'Механизмы'!$A$6:$A$12,0))*INDEX('Детали оружия'!$N$6:$N$23,MATCH(Q14,'Детали оружия'!$A$6:$A$23,0))*INDEX('Детали оружия'!$N$6:$N$23,MATCH(R14,'Детали оружия'!$A$6:$A$23,0))*INDEX('Детали оружия'!$N$6:$N$23,MATCH(S14,'Детали оружия'!$A$6:$A$23,0))*INDEX('Детали оружия'!$N$6:$N$23,MATCH(T14,'Детали оружия'!$A$6:$A$23,0))</x:f>
        <x:v>1.2</x:v>
      </x:c>
      <x:c r="F14" s="11" t="n">
        <x:f>(D14-1)*C14+E14</x:f>
        <x:v>1.2</x:v>
      </x:c>
      <x:c r="G14" s="11" t="n">
        <x:f>B14*D14/F14</x:f>
        <x:v>18.333333333333336</x:v>
      </x:c>
      <x:c r="H14" s="11" t="n">
        <x:f>INDEX('Механизмы'!$I$6:$I$12,MATCH(P14,'Механизмы'!$A$6:$A$12,0))*INDEX('Детали оружия'!$K$6:$K$23,MATCH(Q14,'Детали оружия'!$A$6:$A$23,0))*INDEX('Детали оружия'!$K$6:$K$23,MATCH(R14,'Детали оружия'!$A$6:$A$23,0))*INDEX('Детали оружия'!$K$6:$K$23,MATCH(S14,'Детали оружия'!$A$6:$A$23,0))*INDEX('Детали оружия'!$K$6:$K$23,MATCH(T14,'Детали оружия'!$A$6:$A$23,0))</x:f>
        <x:v>17.96875</x:v>
      </x:c>
      <x:c r="I14" s="11" t="n">
        <x:f>INDEX('Механизмы'!$J$6:$J$12,MATCH(P14,'Механизмы'!$A$6:$A$12,0))</x:f>
        <x:v>0</x:v>
      </x:c>
      <x:c r="J14" s="12" t="n">
        <x:f>INDEX('Механизмы'!$E$6:$E$12,MATCH(P14,'Механизмы'!$A$6:$A$12,0))+INDEX('Детали оружия'!$G$6:$G$23,MATCH(Q14,'Детали оружия'!$A$6:$A$23,0))+INDEX('Детали оружия'!$G$6:$G$23,MATCH(R14,'Детали оружия'!$A$6:$A$23,0))+INDEX('Детали оружия'!$G$6:$G$23,MATCH(S14,'Детали оружия'!$A$6:$A$23,0))+INDEX('Детали оружия'!$G$6:$G$23,MATCH(T14,'Детали оружия'!$A$6:$A$23,0))</x:f>
        <x:v>66</x:v>
      </x:c>
      <x:c r="K14" s="12" t="n">
        <x:f>INDEX('Механизмы'!$F$6:$F$12,MATCH(P14,'Механизмы'!$A$6:$A$12,0))+INDEX('Детали оружия'!$H$6:$H$23,MATCH(Q14,'Детали оружия'!$A$6:$A$23,0))+INDEX('Детали оружия'!$H$6:$H$23,MATCH(R14,'Детали оружия'!$A$6:$A$23,0))+INDEX('Детали оружия'!$H$6:$H$23,MATCH(S14,'Детали оружия'!$A$6:$A$23,0))+INDEX('Детали оружия'!$H$6:$H$23,MATCH(T14,'Детали оружия'!$A$6:$A$23,0))</x:f>
        <x:v>9</x:v>
      </x:c>
      <x:c r="L14" s="12" t="n">
        <x:f>MAX(INDEX('Механизмы'!$C$6:$C$12,MATCH(P14,'Механизмы'!$A$6:$A$12,0)),INDEX('Детали оружия'!$E$6:$E$23,MATCH(Q14,'Детали оружия'!$A$6:$A$23,0)),INDEX('Детали оружия'!$E$6:$E$23,MATCH(R14,'Детали оружия'!$A$6:$A$23,0)),INDEX('Детали оружия'!$E$6:$E$23,MATCH(S14,'Детали оружия'!$A$6:$A$23,0)),INDEX('Детали оружия'!$E$6:$E$23,MATCH(T14,'Детали оружия'!$A$6:$A$23,0)))</x:f>
        <x:v>4</x:v>
      </x:c>
      <x:c r="M14" s="11" t="n">
        <x:f>'Правила'!B15*INDEX('Детали оружия'!$O$6:$O$23,MATCH(Q14,'Детали оружия'!$A$6:$A$23,0))*INDEX('Детали оружия'!$O$6:$O$23,MATCH(R14,'Детали оружия'!$A$6:$A$23,0))*INDEX('Детали оружия'!$O$6:$O$23,MATCH(S14,'Детали оружия'!$A$6:$A$23,0))*INDEX('Детали оружия'!$O$6:$O$23,MATCH(T14,'Детали оружия'!$A$6:$A$23,0))</x:f>
        <x:v>0.325</x:v>
      </x:c>
      <x:c r="N14" s="11" t="n">
        <x:f>INDEX('Механизмы'!$N$6:$N$12,MATCH(P14,'Механизмы'!$A$6:$A$12,0))*INDEX('Детали оружия'!$P$6:$P$23,MATCH(Q14,'Детали оружия'!$A$6:$A$23,0))*INDEX('Детали оружия'!$P$6:$P$23,MATCH(R14,'Детали оружия'!$A$6:$A$23,0))*INDEX('Детали оружия'!$P$6:$P$23,MATCH(S14,'Детали оружия'!$A$6:$A$23,0))*INDEX('Детали оружия'!$P$6:$P$23,MATCH(T14,'Детали оружия'!$A$6:$A$23,0))</x:f>
        <x:v>0.38</x:v>
      </x:c>
      <x:c r="O14" s="12" t="n">
        <x:f>INDEX('Механизмы'!$M$6:$M$12,MATCH(P14,'Механизмы'!$A$6:$A$12,0))</x:f>
        <x:v>7</x:v>
      </x:c>
      <x:c r="P14" s="11" t="str">
        <x:v>core.piercer</x:v>
      </x:c>
      <x:c r="Q14" s="11" t="str">
        <x:v>head.long</x:v>
      </x:c>
      <x:c r="R14" s="11" t="str">
        <x:v>sight.scope</x:v>
      </x:c>
      <x:c r="S14" s="11" t="str">
        <x:v>magazine.standard</x:v>
      </x:c>
      <x:c r="T14" s="11" t="str">
        <x:v>trigger.standard</x:v>
      </x:c>
    </x:row>
    <x:row r="15" ht="28" customHeight="1">
      <x:c r="A15" s="10" t="str">
        <x:v>Очередь дозора</x:v>
      </x:c>
      <x:c r="B15" s="10" t="n">
        <x:f>INDEX('Механизмы'!$G$6:$G$12,MATCH(P15,'Механизмы'!$A$6:$A$12,0))*INDEX('Детали оружия'!$I$6:$I$23,MATCH(Q15,'Детали оружия'!$A$6:$A$23,0))*INDEX('Детали оружия'!$I$6:$I$23,MATCH(R15,'Детали оружия'!$A$6:$A$23,0))*INDEX('Детали оружия'!$I$6:$I$23,MATCH(S15,'Детали оружия'!$A$6:$A$23,0))*INDEX('Детали оружия'!$I$6:$I$23,MATCH(T15,'Детали оружия'!$A$6:$A$23,0))</x:f>
        <x:v>12</x:v>
      </x:c>
      <x:c r="C15" s="10" t="n">
        <x:f>INDEX('Механизмы'!$H$6:$H$12,MATCH(P15,'Механизмы'!$A$6:$A$12,0))*INDEX('Детали оружия'!$J$6:$J$23,MATCH(Q15,'Детали оружия'!$A$6:$A$23,0))*INDEX('Детали оружия'!$J$6:$J$23,MATCH(R15,'Детали оружия'!$A$6:$A$23,0))*INDEX('Детали оружия'!$J$6:$J$23,MATCH(S15,'Детали оружия'!$A$6:$A$23,0))*INDEX('Детали оружия'!$J$6:$J$23,MATCH(T15,'Детали оружия'!$A$6:$A$23,0))</x:f>
        <x:v>0.189</x:v>
      </x:c>
      <x:c r="D15" s="13" t="n">
        <x:f>IF(INDEX('Детали оружия'!$M$6:$M$23,MATCH(T15,'Детали оружия'!$A$6:$A$23,0))&gt;0,INDEX('Детали оружия'!$M$6:$M$23,MATCH(T15,'Детали оружия'!$A$6:$A$23,0)),INDEX('Механизмы'!$K$6:$K$12,MATCH(P15,'Механизмы'!$A$6:$A$12,0))*INDEX('Детали оружия'!$L$6:$L$23,MATCH(Q15,'Детали оружия'!$A$6:$A$23,0))*INDEX('Детали оружия'!$L$6:$L$23,MATCH(R15,'Детали оружия'!$A$6:$A$23,0))*INDEX('Детали оружия'!$L$6:$L$23,MATCH(S15,'Детали оружия'!$A$6:$A$23,0))*INDEX('Детали оружия'!$L$6:$L$23,MATCH(T15,'Детали оружия'!$A$6:$A$23,0)))</x:f>
        <x:v>3</x:v>
      </x:c>
      <x:c r="E15" s="10" t="n">
        <x:f>INDEX('Механизмы'!$L$6:$L$12,MATCH(P15,'Механизмы'!$A$6:$A$12,0))*INDEX('Детали оружия'!$N$6:$N$23,MATCH(Q15,'Детали оружия'!$A$6:$A$23,0))*INDEX('Детали оружия'!$N$6:$N$23,MATCH(R15,'Детали оружия'!$A$6:$A$23,0))*INDEX('Детали оружия'!$N$6:$N$23,MATCH(S15,'Детали оружия'!$A$6:$A$23,0))*INDEX('Детали оружия'!$N$6:$N$23,MATCH(T15,'Детали оружия'!$A$6:$A$23,0))</x:f>
        <x:v>0.882</x:v>
      </x:c>
      <x:c r="F15" s="10" t="n">
        <x:f>(D15-1)*C15+E15</x:f>
        <x:v>1.26</x:v>
      </x:c>
      <x:c r="G15" s="10" t="n">
        <x:f>B15*D15/F15</x:f>
        <x:v>28.571428571428573</x:v>
      </x:c>
      <x:c r="H15" s="10" t="n">
        <x:f>INDEX('Механизмы'!$I$6:$I$12,MATCH(P15,'Механизмы'!$A$6:$A$12,0))*INDEX('Детали оружия'!$K$6:$K$23,MATCH(Q15,'Детали оружия'!$A$6:$A$23,0))*INDEX('Детали оружия'!$K$6:$K$23,MATCH(R15,'Детали оружия'!$A$6:$A$23,0))*INDEX('Детали оружия'!$K$6:$K$23,MATCH(S15,'Детали оружия'!$A$6:$A$23,0))*INDEX('Детали оружия'!$K$6:$K$23,MATCH(T15,'Детали оружия'!$A$6:$A$23,0))</x:f>
        <x:v>8</x:v>
      </x:c>
      <x:c r="I15" s="10" t="n">
        <x:f>INDEX('Механизмы'!$J$6:$J$12,MATCH(P15,'Механизмы'!$A$6:$A$12,0))</x:f>
        <x:v>0</x:v>
      </x:c>
      <x:c r="J15" s="13" t="n">
        <x:f>INDEX('Механизмы'!$E$6:$E$12,MATCH(P15,'Механизмы'!$A$6:$A$12,0))+INDEX('Детали оружия'!$G$6:$G$23,MATCH(Q15,'Детали оружия'!$A$6:$A$23,0))+INDEX('Детали оружия'!$G$6:$G$23,MATCH(R15,'Детали оружия'!$A$6:$A$23,0))+INDEX('Детали оружия'!$G$6:$G$23,MATCH(S15,'Детали оружия'!$A$6:$A$23,0))+INDEX('Детали оружия'!$G$6:$G$23,MATCH(T15,'Детали оружия'!$A$6:$A$23,0))</x:f>
        <x:v>34</x:v>
      </x:c>
      <x:c r="K15" s="13" t="n">
        <x:f>INDEX('Механизмы'!$F$6:$F$12,MATCH(P15,'Механизмы'!$A$6:$A$12,0))+INDEX('Детали оружия'!$H$6:$H$23,MATCH(Q15,'Детали оружия'!$A$6:$A$23,0))+INDEX('Детали оружия'!$H$6:$H$23,MATCH(R15,'Детали оружия'!$A$6:$A$23,0))+INDEX('Детали оружия'!$H$6:$H$23,MATCH(S15,'Детали оружия'!$A$6:$A$23,0))+INDEX('Детали оружия'!$H$6:$H$23,MATCH(T15,'Детали оружия'!$A$6:$A$23,0))</x:f>
        <x:v>5</x:v>
      </x:c>
      <x:c r="L15" s="13" t="n">
        <x:f>MAX(INDEX('Механизмы'!$C$6:$C$12,MATCH(P15,'Механизмы'!$A$6:$A$12,0)),INDEX('Детали оружия'!$E$6:$E$23,MATCH(Q15,'Детали оружия'!$A$6:$A$23,0)),INDEX('Детали оружия'!$E$6:$E$23,MATCH(R15,'Детали оружия'!$A$6:$A$23,0)),INDEX('Детали оружия'!$E$6:$E$23,MATCH(S15,'Детали оружия'!$A$6:$A$23,0)),INDEX('Детали оружия'!$E$6:$E$23,MATCH(T15,'Детали оружия'!$A$6:$A$23,0)))</x:f>
        <x:v>5</x:v>
      </x:c>
      <x:c r="M15" s="10" t="n">
        <x:f>'Правила'!B15*INDEX('Детали оружия'!$O$6:$O$23,MATCH(Q15,'Детали оружия'!$A$6:$A$23,0))*INDEX('Детали оружия'!$O$6:$O$23,MATCH(R15,'Детали оружия'!$A$6:$A$23,0))*INDEX('Детали оружия'!$O$6:$O$23,MATCH(S15,'Детали оружия'!$A$6:$A$23,0))*INDEX('Детали оружия'!$O$6:$O$23,MATCH(T15,'Детали оружия'!$A$6:$A$23,0))</x:f>
        <x:v>0.25</x:v>
      </x:c>
      <x:c r="N15" s="10" t="n">
        <x:f>INDEX('Механизмы'!$N$6:$N$12,MATCH(P15,'Механизмы'!$A$6:$A$12,0))*INDEX('Детали оружия'!$P$6:$P$23,MATCH(Q15,'Детали оружия'!$A$6:$A$23,0))*INDEX('Детали оружия'!$P$6:$P$23,MATCH(R15,'Детали оружия'!$A$6:$A$23,0))*INDEX('Детали оружия'!$P$6:$P$23,MATCH(S15,'Детали оружия'!$A$6:$A$23,0))*INDEX('Детали оружия'!$P$6:$P$23,MATCH(T15,'Детали оружия'!$A$6:$A$23,0))</x:f>
        <x:v>0.1</x:v>
      </x:c>
      <x:c r="O15" s="13" t="n">
        <x:f>INDEX('Механизмы'!$M$6:$M$12,MATCH(P15,'Механизмы'!$A$6:$A$12,0))</x:f>
        <x:v>1</x:v>
      </x:c>
      <x:c r="P15" s="10" t="str">
        <x:v>core.gun</x:v>
      </x:c>
      <x:c r="Q15" s="10" t="str">
        <x:v>head.gun</x:v>
      </x:c>
      <x:c r="R15" s="10" t="str">
        <x:v>sight.iron</x:v>
      </x:c>
      <x:c r="S15" s="10" t="str">
        <x:v>magazine.standard</x:v>
      </x:c>
      <x:c r="T15" s="10" t="str">
        <x:v>trigger.burst</x:v>
      </x:c>
    </x:row>
    <x:row r="16" ht="28" customHeight="1">
      <x:c r="A16" s="11" t="str">
        <x:v>Барабанный дозор</x:v>
      </x:c>
      <x:c r="B16" s="11" t="n">
        <x:f>INDEX('Механизмы'!$G$6:$G$12,MATCH(P16,'Механизмы'!$A$6:$A$12,0))*INDEX('Детали оружия'!$I$6:$I$23,MATCH(Q16,'Детали оружия'!$A$6:$A$23,0))*INDEX('Детали оружия'!$I$6:$I$23,MATCH(R16,'Детали оружия'!$A$6:$A$23,0))*INDEX('Детали оружия'!$I$6:$I$23,MATCH(S16,'Детали оружия'!$A$6:$A$23,0))*INDEX('Детали оружия'!$I$6:$I$23,MATCH(T16,'Детали оружия'!$A$6:$A$23,0))</x:f>
        <x:v>12</x:v>
      </x:c>
      <x:c r="C16" s="11" t="n">
        <x:f>INDEX('Механизмы'!$H$6:$H$12,MATCH(P16,'Механизмы'!$A$6:$A$12,0))*INDEX('Детали оружия'!$J$6:$J$23,MATCH(Q16,'Детали оружия'!$A$6:$A$23,0))*INDEX('Детали оружия'!$J$6:$J$23,MATCH(R16,'Детали оружия'!$A$6:$A$23,0))*INDEX('Детали оружия'!$J$6:$J$23,MATCH(S16,'Детали оружия'!$A$6:$A$23,0))*INDEX('Детали оружия'!$J$6:$J$23,MATCH(T16,'Детали оружия'!$A$6:$A$23,0))</x:f>
        <x:v>0.357</x:v>
      </x:c>
      <x:c r="D16" s="12" t="n">
        <x:f>IF(INDEX('Детали оружия'!$M$6:$M$23,MATCH(T16,'Детали оружия'!$A$6:$A$23,0))&gt;0,INDEX('Детали оружия'!$M$6:$M$23,MATCH(T16,'Детали оружия'!$A$6:$A$23,0)),INDEX('Механизмы'!$K$6:$K$12,MATCH(P16,'Механизмы'!$A$6:$A$12,0))*INDEX('Детали оружия'!$L$6:$L$23,MATCH(Q16,'Детали оружия'!$A$6:$A$23,0))*INDEX('Детали оружия'!$L$6:$L$23,MATCH(R16,'Детали оружия'!$A$6:$A$23,0))*INDEX('Детали оружия'!$L$6:$L$23,MATCH(S16,'Детали оружия'!$A$6:$A$23,0))*INDEX('Детали оружия'!$L$6:$L$23,MATCH(T16,'Детали оружия'!$A$6:$A$23,0)))</x:f>
        <x:v>12</x:v>
      </x:c>
      <x:c r="E16" s="11" t="n">
        <x:f>INDEX('Механизмы'!$L$6:$L$12,MATCH(P16,'Механизмы'!$A$6:$A$12,0))*INDEX('Детали оружия'!$N$6:$N$23,MATCH(Q16,'Детали оружия'!$A$6:$A$23,0))*INDEX('Детали оружия'!$N$6:$N$23,MATCH(R16,'Детали оружия'!$A$6:$A$23,0))*INDEX('Детали оружия'!$N$6:$N$23,MATCH(S16,'Детали оружия'!$A$6:$A$23,0))*INDEX('Детали оружия'!$N$6:$N$23,MATCH(T16,'Детали оружия'!$A$6:$A$23,0))</x:f>
        <x:v>1.26</x:v>
      </x:c>
      <x:c r="F16" s="11" t="n">
        <x:f>(D16-1)*C16+E16</x:f>
        <x:v>5.186999999999999</x:v>
      </x:c>
      <x:c r="G16" s="11" t="n">
        <x:f>B16*D16/F16</x:f>
        <x:v>27.76171197223829</x:v>
      </x:c>
      <x:c r="H16" s="11" t="n">
        <x:f>INDEX('Механизмы'!$I$6:$I$12,MATCH(P16,'Механизмы'!$A$6:$A$12,0))*INDEX('Детали оружия'!$K$6:$K$23,MATCH(Q16,'Детали оружия'!$A$6:$A$23,0))*INDEX('Детали оружия'!$K$6:$K$23,MATCH(R16,'Детали оружия'!$A$6:$A$23,0))*INDEX('Детали оружия'!$K$6:$K$23,MATCH(S16,'Детали оружия'!$A$6:$A$23,0))*INDEX('Детали оружия'!$K$6:$K$23,MATCH(T16,'Детали оружия'!$A$6:$A$23,0))</x:f>
        <x:v>8</x:v>
      </x:c>
      <x:c r="I16" s="11" t="n">
        <x:f>INDEX('Механизмы'!$J$6:$J$12,MATCH(P16,'Механизмы'!$A$6:$A$12,0))</x:f>
        <x:v>0</x:v>
      </x:c>
      <x:c r="J16" s="12" t="n">
        <x:f>INDEX('Механизмы'!$E$6:$E$12,MATCH(P16,'Механизмы'!$A$6:$A$12,0))+INDEX('Детали оружия'!$G$6:$G$23,MATCH(Q16,'Детали оружия'!$A$6:$A$23,0))+INDEX('Детали оружия'!$G$6:$G$23,MATCH(R16,'Детали оружия'!$A$6:$A$23,0))+INDEX('Детали оружия'!$G$6:$G$23,MATCH(S16,'Детали оружия'!$A$6:$A$23,0))+INDEX('Детали оружия'!$G$6:$G$23,MATCH(T16,'Детали оружия'!$A$6:$A$23,0))</x:f>
        <x:v>36</x:v>
      </x:c>
      <x:c r="K16" s="12" t="n">
        <x:f>INDEX('Механизмы'!$F$6:$F$12,MATCH(P16,'Механизмы'!$A$6:$A$12,0))+INDEX('Детали оружия'!$H$6:$H$23,MATCH(Q16,'Детали оружия'!$A$6:$A$23,0))+INDEX('Детали оружия'!$H$6:$H$23,MATCH(R16,'Детали оружия'!$A$6:$A$23,0))+INDEX('Детали оружия'!$H$6:$H$23,MATCH(S16,'Детали оружия'!$A$6:$A$23,0))+INDEX('Детали оружия'!$H$6:$H$23,MATCH(T16,'Детали оружия'!$A$6:$A$23,0))</x:f>
        <x:v>5</x:v>
      </x:c>
      <x:c r="L16" s="12" t="n">
        <x:f>MAX(INDEX('Механизмы'!$C$6:$C$12,MATCH(P16,'Механизмы'!$A$6:$A$12,0)),INDEX('Детали оружия'!$E$6:$E$23,MATCH(Q16,'Детали оружия'!$A$6:$A$23,0)),INDEX('Детали оружия'!$E$6:$E$23,MATCH(R16,'Детали оружия'!$A$6:$A$23,0)),INDEX('Детали оружия'!$E$6:$E$23,MATCH(S16,'Детали оружия'!$A$6:$A$23,0)),INDEX('Детали оружия'!$E$6:$E$23,MATCH(T16,'Детали оружия'!$A$6:$A$23,0)))</x:f>
        <x:v>4</x:v>
      </x:c>
      <x:c r="M16" s="11" t="n">
        <x:f>'Правила'!B15*INDEX('Детали оружия'!$O$6:$O$23,MATCH(Q16,'Детали оружия'!$A$6:$A$23,0))*INDEX('Детали оружия'!$O$6:$O$23,MATCH(R16,'Детали оружия'!$A$6:$A$23,0))*INDEX('Детали оружия'!$O$6:$O$23,MATCH(S16,'Детали оружия'!$A$6:$A$23,0))*INDEX('Детали оружия'!$O$6:$O$23,MATCH(T16,'Детали оружия'!$A$6:$A$23,0))</x:f>
        <x:v>0.25</x:v>
      </x:c>
      <x:c r="N16" s="11" t="n">
        <x:f>INDEX('Механизмы'!$N$6:$N$12,MATCH(P16,'Механизмы'!$A$6:$A$12,0))*INDEX('Детали оружия'!$P$6:$P$23,MATCH(Q16,'Детали оружия'!$A$6:$A$23,0))*INDEX('Детали оружия'!$P$6:$P$23,MATCH(R16,'Детали оружия'!$A$6:$A$23,0))*INDEX('Детали оружия'!$P$6:$P$23,MATCH(S16,'Детали оружия'!$A$6:$A$23,0))*INDEX('Детали оружия'!$P$6:$P$23,MATCH(T16,'Детали оружия'!$A$6:$A$23,0))</x:f>
        <x:v>0.1</x:v>
      </x:c>
      <x:c r="O16" s="12" t="n">
        <x:f>INDEX('Механизмы'!$M$6:$M$12,MATCH(P16,'Механизмы'!$A$6:$A$12,0))</x:f>
        <x:v>1</x:v>
      </x:c>
      <x:c r="P16" s="11" t="str">
        <x:v>core.gun</x:v>
      </x:c>
      <x:c r="Q16" s="11" t="str">
        <x:v>head.gun</x:v>
      </x:c>
      <x:c r="R16" s="11" t="str">
        <x:v>sight.iron</x:v>
      </x:c>
      <x:c r="S16" s="11" t="str">
        <x:v>magazine.drum</x:v>
      </x:c>
      <x:c r="T16" s="11" t="str">
        <x:v>trigger.standard</x:v>
      </x:c>
    </x:row>
  </x:sheetData>
  <x:pageMargins left="0.7" right="0.7" top="0.75" bottom="0.75" header="0.3" footer="0.3"/>
  <x:tableParts count="1">
    <x:tablePart xmlns:r="http://schemas.openxmlformats.org/officeDocument/2006/relationships" r:id="Rd7ee415ca08d4ca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9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29" hidden="0" customWidth="1"/>
    <x:col min="13" max="13" width="29" hidden="0" customWidth="1"/>
    <x:col min="14" max="14" width="29" hidden="0" customWidth="1"/>
    <x:col min="15" max="15" width="29" hidden="0" customWidth="1"/>
    <x:col min="16" max="16" width="17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>
      <x:c r="A2" s="2" t="str">
        <x:v>Сборки сооружений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>
      <x:c r="A3" s="3" t="str">
        <x:v>Генератор без возврата; ремонт одной цели. Доход зависит от числа полностью пережитых волн.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46" customHeight="1">
      <x:c r="A5" s="8" t="str">
        <x:v>Рисунок</x:v>
      </x:c>
      <x:c r="B5" s="8" t="str">
        <x:v>Цена, штр.</x:v>
      </x:c>
      <x:c r="C5" s="8" t="str">
        <x:v>HP</x:v>
      </x:c>
      <x:c r="D5" s="8" t="str">
        <x:v>Нагрузка</x:v>
      </x:c>
      <x:c r="E5" s="8" t="str">
        <x:v>Вместимость</x:v>
      </x:c>
      <x:c r="F5" s="8" t="str">
        <x:v>Радиус</x:v>
      </x:c>
      <x:c r="G5" s="8" t="str">
        <x:v>Выработка</x:v>
      </x:c>
      <x:c r="H5" s="8" t="str">
        <x:v>Скорость цели ×</x:v>
      </x:c>
      <x:c r="I5" s="8" t="str">
        <x:v>Защита</x:v>
      </x:c>
      <x:c r="J5" s="8" t="str">
        <x:v>Уровень</x:v>
      </x:c>
      <x:c r="K5" s="8" t="str">
        <x:v>Окупаемость, волн</x:v>
      </x:c>
      <x:c r="L5" s="8" t="str">
        <x:v>Основание</x:v>
      </x:c>
      <x:c r="M5" s="8" t="str">
        <x:v>Функция</x:v>
      </x:c>
      <x:c r="N5" s="8" t="str">
        <x:v>Оболочка</x:v>
      </x:c>
      <x:c r="O5" s="8" t="str">
        <x:v>Оснащение</x:v>
      </x:c>
      <x:c r="P5" s="8" t="str">
        <x:v>Единица выработки</x:v>
      </x:c>
    </x:row>
    <x:row r="6" ht="28" customHeight="1">
      <x:c r="A6" s="11" t="str">
        <x:v>Баррикада</x:v>
      </x:c>
      <x:c r="B6" s="12" t="n">
        <x:f>ROUNDUP(INDEX('Детали зданий'!$G$6:$G$20,MATCH(L6,'Детали зданий'!$A$6:$A$20,0))+INDEX('Детали зданий'!$G$6:$G$20,MATCH(M6,'Детали зданий'!$A$6:$A$20,0))+INDEX('Детали зданий'!$G$6:$G$20,MATCH(N6,'Детали зданий'!$A$6:$A$20,0))+INDEX('Детали зданий'!$G$6:$G$20,MATCH(O6,'Детали зданий'!$A$6:$A$20,0)),0)</x:f>
        <x:v>16</x:v>
      </x:c>
      <x:c r="C6" s="11" t="n">
        <x:f>INDEX('Детали зданий'!$J$6:$J$20,MATCH(L6,'Детали зданий'!$A$6:$A$20,0))*INDEX('Детали зданий'!$K$6:$K$20,MATCH(N6,'Детали зданий'!$A$6:$A$20,0))*INDEX('Детали зданий'!$K$6:$K$20,MATCH(O6,'Детали зданий'!$A$6:$A$20,0))</x:f>
        <x:v>200</x:v>
      </x:c>
      <x:c r="D6" s="12" t="n">
        <x:f>INDEX('Детали зданий'!$H$6:$H$20,MATCH(L6,'Детали зданий'!$A$6:$A$20,0))+INDEX('Детали зданий'!$H$6:$H$20,MATCH(M6,'Детали зданий'!$A$6:$A$20,0))+INDEX('Детали зданий'!$H$6:$H$20,MATCH(N6,'Детали зданий'!$A$6:$A$20,0))+INDEX('Детали зданий'!$H$6:$H$20,MATCH(O6,'Детали зданий'!$A$6:$A$20,0))</x:f>
        <x:v>2</x:v>
      </x:c>
      <x:c r="E6" s="12" t="n">
        <x:f>INDEX('Детали зданий'!$I$6:$I$20,MATCH(L6,'Детали зданий'!$A$6:$A$20,0))</x:f>
        <x:v>6</x:v>
      </x:c>
      <x:c r="F6" s="11" t="n">
        <x:f>INDEX('Детали зданий'!$L$6:$L$20,MATCH(M6,'Детали зданий'!$A$6:$A$20,0))*INDEX('Детали зданий'!$M$6:$M$20,MATCH(O6,'Детали зданий'!$A$6:$A$20,0))</x:f>
        <x:v>0</x:v>
      </x:c>
      <x:c r="G6" s="11" t="n">
        <x:f>INDEX('Детали зданий'!$N$6:$N$20,MATCH(M6,'Детали зданий'!$A$6:$A$20,0))*INDEX('Детали зданий'!$O$6:$O$20,MATCH(O6,'Детали зданий'!$A$6:$A$20,0))</x:f>
        <x:v>0</x:v>
      </x:c>
      <x:c r="H6" s="11" t="n">
        <x:f>INDEX('Детали зданий'!$P$6:$P$20,MATCH(M6,'Детали зданий'!$A$6:$A$20,0))</x:f>
        <x:v>1</x:v>
      </x:c>
      <x:c r="I6" s="11" t="n">
        <x:f>INDEX('Детали зданий'!$Q$6:$Q$20,MATCH(O6,'Детали зданий'!$A$6:$A$20,0))</x:f>
        <x:v>0</x:v>
      </x:c>
      <x:c r="J6" s="12" t="n">
        <x:f>MAX(INDEX('Детали зданий'!$E$6:$E$20,MATCH(L6,'Детали зданий'!$A$6:$A$20,0)),INDEX('Детали зданий'!$E$6:$E$20,MATCH(M6,'Детали зданий'!$A$6:$A$20,0)),INDEX('Детали зданий'!$E$6:$E$20,MATCH(N6,'Детали зданий'!$A$6:$A$20,0)),INDEX('Детали зданий'!$E$6:$E$20,MATCH(O6,'Детали зданий'!$A$6:$A$20,0)))</x:f>
        <x:v>1</x:v>
      </x:c>
      <x:c r="K6" s="12" t="str">
        <x:f>IF(P6="штр./волну",ROUNDUP(B6/G6,0),"—")</x:f>
        <x:v>—</x:v>
      </x:c>
      <x:c r="L6" s="11" t="str">
        <x:v>site.wall</x:v>
      </x:c>
      <x:c r="M6" s="11" t="str">
        <x:v>function.wall</x:v>
      </x:c>
      <x:c r="N6" s="11" t="str">
        <x:v>shell.standard</x:v>
      </x:c>
      <x:c r="O6" s="11" t="str">
        <x:v>utility.none</x:v>
      </x:c>
      <x:c r="P6" s="11" t="str">
        <x:v>не применяется</x:v>
      </x:c>
    </x:row>
    <x:row r="7" ht="28" customHeight="1">
      <x:c r="A7" s="10" t="str">
        <x:v>Замедлитель</x:v>
      </x:c>
      <x:c r="B7" s="13" t="n">
        <x:f>ROUNDUP(INDEX('Детали зданий'!$G$6:$G$20,MATCH(L7,'Детали зданий'!$A$6:$A$20,0))+INDEX('Детали зданий'!$G$6:$G$20,MATCH(M7,'Детали зданий'!$A$6:$A$20,0))+INDEX('Детали зданий'!$G$6:$G$20,MATCH(N7,'Детали зданий'!$A$6:$A$20,0))+INDEX('Детали зданий'!$G$6:$G$20,MATCH(O7,'Детали зданий'!$A$6:$A$20,0)),0)</x:f>
        <x:v>22</x:v>
      </x:c>
      <x:c r="C7" s="10" t="n">
        <x:f>INDEX('Детали зданий'!$J$6:$J$20,MATCH(L7,'Детали зданий'!$A$6:$A$20,0))*INDEX('Детали зданий'!$K$6:$K$20,MATCH(N7,'Детали зданий'!$A$6:$A$20,0))*INDEX('Детали зданий'!$K$6:$K$20,MATCH(O7,'Детали зданий'!$A$6:$A$20,0))</x:f>
        <x:v>55</x:v>
      </x:c>
      <x:c r="D7" s="13" t="n">
        <x:f>INDEX('Детали зданий'!$H$6:$H$20,MATCH(L7,'Детали зданий'!$A$6:$A$20,0))+INDEX('Детали зданий'!$H$6:$H$20,MATCH(M7,'Детали зданий'!$A$6:$A$20,0))+INDEX('Детали зданий'!$H$6:$H$20,MATCH(N7,'Детали зданий'!$A$6:$A$20,0))+INDEX('Детали зданий'!$H$6:$H$20,MATCH(O7,'Детали зданий'!$A$6:$A$20,0))</x:f>
        <x:v>2</x:v>
      </x:c>
      <x:c r="E7" s="13" t="n">
        <x:f>INDEX('Детали зданий'!$I$6:$I$20,MATCH(L7,'Детали зданий'!$A$6:$A$20,0))</x:f>
        <x:v>6</x:v>
      </x:c>
      <x:c r="F7" s="10" t="n">
        <x:f>INDEX('Детали зданий'!$L$6:$L$20,MATCH(M7,'Детали зданий'!$A$6:$A$20,0))*INDEX('Детали зданий'!$M$6:$M$20,MATCH(O7,'Детали зданий'!$A$6:$A$20,0))</x:f>
        <x:v>1</x:v>
      </x:c>
      <x:c r="G7" s="10" t="n">
        <x:f>INDEX('Детали зданий'!$N$6:$N$20,MATCH(M7,'Детали зданий'!$A$6:$A$20,0))*INDEX('Детали зданий'!$O$6:$O$20,MATCH(O7,'Детали зданий'!$A$6:$A$20,0))</x:f>
        <x:v>0</x:v>
      </x:c>
      <x:c r="H7" s="10" t="n">
        <x:f>INDEX('Детали зданий'!$P$6:$P$20,MATCH(M7,'Детали зданий'!$A$6:$A$20,0))</x:f>
        <x:v>0.6</x:v>
      </x:c>
      <x:c r="I7" s="10" t="n">
        <x:f>INDEX('Детали зданий'!$Q$6:$Q$20,MATCH(O7,'Детали зданий'!$A$6:$A$20,0))</x:f>
        <x:v>0</x:v>
      </x:c>
      <x:c r="J7" s="13" t="n">
        <x:f>MAX(INDEX('Детали зданий'!$E$6:$E$20,MATCH(L7,'Детали зданий'!$A$6:$A$20,0)),INDEX('Детали зданий'!$E$6:$E$20,MATCH(M7,'Детали зданий'!$A$6:$A$20,0)),INDEX('Детали зданий'!$E$6:$E$20,MATCH(N7,'Детали зданий'!$A$6:$A$20,0)),INDEX('Детали зданий'!$E$6:$E$20,MATCH(O7,'Детали зданий'!$A$6:$A$20,0)))</x:f>
        <x:v>1</x:v>
      </x:c>
      <x:c r="K7" s="13" t="str">
        <x:f>IF(P7="штр./волну",ROUNDUP(B7/G7,0),"—")</x:f>
        <x:v>—</x:v>
      </x:c>
      <x:c r="L7" s="10" t="str">
        <x:v>site.slow</x:v>
      </x:c>
      <x:c r="M7" s="10" t="str">
        <x:v>function.slow</x:v>
      </x:c>
      <x:c r="N7" s="10" t="str">
        <x:v>shell.standard</x:v>
      </x:c>
      <x:c r="O7" s="10" t="str">
        <x:v>utility.none</x:v>
      </x:c>
      <x:c r="P7" s="10" t="str">
        <x:v>не применяется</x:v>
      </x:c>
    </x:row>
    <x:row r="8" ht="28" customHeight="1">
      <x:c r="A8" s="11" t="str">
        <x:v>Ремонтный пост</x:v>
      </x:c>
      <x:c r="B8" s="12" t="n">
        <x:f>ROUNDUP(INDEX('Детали зданий'!$G$6:$G$20,MATCH(L8,'Детали зданий'!$A$6:$A$20,0))+INDEX('Детали зданий'!$G$6:$G$20,MATCH(M8,'Детали зданий'!$A$6:$A$20,0))+INDEX('Детали зданий'!$G$6:$G$20,MATCH(N8,'Детали зданий'!$A$6:$A$20,0))+INDEX('Детали зданий'!$G$6:$G$20,MATCH(O8,'Детали зданий'!$A$6:$A$20,0)),0)</x:f>
        <x:v>65</x:v>
      </x:c>
      <x:c r="C8" s="11" t="n">
        <x:f>INDEX('Детали зданий'!$J$6:$J$20,MATCH(L8,'Детали зданий'!$A$6:$A$20,0))*INDEX('Детали зданий'!$K$6:$K$20,MATCH(N8,'Детали зданий'!$A$6:$A$20,0))*INDEX('Детали зданий'!$K$6:$K$20,MATCH(O8,'Детали зданий'!$A$6:$A$20,0))</x:f>
        <x:v>70</x:v>
      </x:c>
      <x:c r="D8" s="12" t="n">
        <x:f>INDEX('Детали зданий'!$H$6:$H$20,MATCH(L8,'Детали зданий'!$A$6:$A$20,0))+INDEX('Детали зданий'!$H$6:$H$20,MATCH(M8,'Детали зданий'!$A$6:$A$20,0))+INDEX('Детали зданий'!$H$6:$H$20,MATCH(N8,'Детали зданий'!$A$6:$A$20,0))+INDEX('Детали зданий'!$H$6:$H$20,MATCH(O8,'Детали зданий'!$A$6:$A$20,0))</x:f>
        <x:v>3</x:v>
      </x:c>
      <x:c r="E8" s="12" t="n">
        <x:f>INDEX('Детали зданий'!$I$6:$I$20,MATCH(L8,'Детали зданий'!$A$6:$A$20,0))</x:f>
        <x:v>6</x:v>
      </x:c>
      <x:c r="F8" s="11" t="n">
        <x:f>INDEX('Детали зданий'!$L$6:$L$20,MATCH(M8,'Детали зданий'!$A$6:$A$20,0))*INDEX('Детали зданий'!$M$6:$M$20,MATCH(O8,'Детали зданий'!$A$6:$A$20,0))</x:f>
        <x:v>5</x:v>
      </x:c>
      <x:c r="G8" s="11" t="n">
        <x:f>INDEX('Детали зданий'!$N$6:$N$20,MATCH(M8,'Детали зданий'!$A$6:$A$20,0))*INDEX('Детали зданий'!$O$6:$O$20,MATCH(O8,'Детали зданий'!$A$6:$A$20,0))</x:f>
        <x:v>6</x:v>
      </x:c>
      <x:c r="H8" s="11" t="n">
        <x:f>INDEX('Детали зданий'!$P$6:$P$20,MATCH(M8,'Детали зданий'!$A$6:$A$20,0))</x:f>
        <x:v>1</x:v>
      </x:c>
      <x:c r="I8" s="11" t="n">
        <x:f>INDEX('Детали зданий'!$Q$6:$Q$20,MATCH(O8,'Детали зданий'!$A$6:$A$20,0))</x:f>
        <x:v>0</x:v>
      </x:c>
      <x:c r="J8" s="12" t="n">
        <x:f>MAX(INDEX('Детали зданий'!$E$6:$E$20,MATCH(L8,'Детали зданий'!$A$6:$A$20,0)),INDEX('Детали зданий'!$E$6:$E$20,MATCH(M8,'Детали зданий'!$A$6:$A$20,0)),INDEX('Детали зданий'!$E$6:$E$20,MATCH(N8,'Детали зданий'!$A$6:$A$20,0)),INDEX('Детали зданий'!$E$6:$E$20,MATCH(O8,'Детали зданий'!$A$6:$A$20,0)))</x:f>
        <x:v>1</x:v>
      </x:c>
      <x:c r="K8" s="12" t="str">
        <x:f>IF(P8="штр./волну",ROUNDUP(B8/G8,0),"—")</x:f>
        <x:v>—</x:v>
      </x:c>
      <x:c r="L8" s="11" t="str">
        <x:v>site.repair</x:v>
      </x:c>
      <x:c r="M8" s="11" t="str">
        <x:v>function.repair</x:v>
      </x:c>
      <x:c r="N8" s="11" t="str">
        <x:v>shell.standard</x:v>
      </x:c>
      <x:c r="O8" s="11" t="str">
        <x:v>utility.none</x:v>
      </x:c>
      <x:c r="P8" s="11" t="str">
        <x:v>HP/с</x:v>
      </x:c>
    </x:row>
    <x:row r="9" ht="28" customHeight="1">
      <x:c r="A9" s="10" t="str">
        <x:v>Генератор штрихов</x:v>
      </x:c>
      <x:c r="B9" s="13" t="n">
        <x:f>ROUNDUP(INDEX('Детали зданий'!$G$6:$G$20,MATCH(L9,'Детали зданий'!$A$6:$A$20,0))+INDEX('Детали зданий'!$G$6:$G$20,MATCH(M9,'Детали зданий'!$A$6:$A$20,0))+INDEX('Детали зданий'!$G$6:$G$20,MATCH(N9,'Детали зданий'!$A$6:$A$20,0))+INDEX('Детали зданий'!$G$6:$G$20,MATCH(O9,'Детали зданий'!$A$6:$A$20,0)),0)</x:f>
        <x:v>60</x:v>
      </x:c>
      <x:c r="C9" s="10" t="n">
        <x:f>INDEX('Детали зданий'!$J$6:$J$20,MATCH(L9,'Детали зданий'!$A$6:$A$20,0))*INDEX('Детали зданий'!$K$6:$K$20,MATCH(N9,'Детали зданий'!$A$6:$A$20,0))*INDEX('Детали зданий'!$K$6:$K$20,MATCH(O9,'Детали зданий'!$A$6:$A$20,0))</x:f>
        <x:v>80</x:v>
      </x:c>
      <x:c r="D9" s="13" t="n">
        <x:f>INDEX('Детали зданий'!$H$6:$H$20,MATCH(L9,'Детали зданий'!$A$6:$A$20,0))+INDEX('Детали зданий'!$H$6:$H$20,MATCH(M9,'Детали зданий'!$A$6:$A$20,0))+INDEX('Детали зданий'!$H$6:$H$20,MATCH(N9,'Детали зданий'!$A$6:$A$20,0))+INDEX('Детали зданий'!$H$6:$H$20,MATCH(O9,'Детали зданий'!$A$6:$A$20,0))</x:f>
        <x:v>3</x:v>
      </x:c>
      <x:c r="E9" s="13" t="n">
        <x:f>INDEX('Детали зданий'!$I$6:$I$20,MATCH(L9,'Детали зданий'!$A$6:$A$20,0))</x:f>
        <x:v>6</x:v>
      </x:c>
      <x:c r="F9" s="10" t="n">
        <x:f>INDEX('Детали зданий'!$L$6:$L$20,MATCH(M9,'Детали зданий'!$A$6:$A$20,0))*INDEX('Детали зданий'!$M$6:$M$20,MATCH(O9,'Детали зданий'!$A$6:$A$20,0))</x:f>
        <x:v>0</x:v>
      </x:c>
      <x:c r="G9" s="10" t="n">
        <x:f>INDEX('Детали зданий'!$N$6:$N$20,MATCH(M9,'Детали зданий'!$A$6:$A$20,0))*INDEX('Детали зданий'!$O$6:$O$20,MATCH(O9,'Детали зданий'!$A$6:$A$20,0))</x:f>
        <x:v>12</x:v>
      </x:c>
      <x:c r="H9" s="10" t="n">
        <x:f>INDEX('Детали зданий'!$P$6:$P$20,MATCH(M9,'Детали зданий'!$A$6:$A$20,0))</x:f>
        <x:v>1</x:v>
      </x:c>
      <x:c r="I9" s="10" t="n">
        <x:f>INDEX('Детали зданий'!$Q$6:$Q$20,MATCH(O9,'Детали зданий'!$A$6:$A$20,0))</x:f>
        <x:v>0</x:v>
      </x:c>
      <x:c r="J9" s="13" t="n">
        <x:f>MAX(INDEX('Детали зданий'!$E$6:$E$20,MATCH(L9,'Детали зданий'!$A$6:$A$20,0)),INDEX('Детали зданий'!$E$6:$E$20,MATCH(M9,'Детали зданий'!$A$6:$A$20,0)),INDEX('Детали зданий'!$E$6:$E$20,MATCH(N9,'Детали зданий'!$A$6:$A$20,0)),INDEX('Детали зданий'!$E$6:$E$20,MATCH(O9,'Детали зданий'!$A$6:$A$20,0)))</x:f>
        <x:v>1</x:v>
      </x:c>
      <x:c r="K9" s="13" t="n">
        <x:f>IF(P9="штр./волну",ROUNDUP(B9/G9,0),"—")</x:f>
        <x:v>5</x:v>
      </x:c>
      <x:c r="L9" s="10" t="str">
        <x:v>site.generator</x:v>
      </x:c>
      <x:c r="M9" s="10" t="str">
        <x:v>function.generator</x:v>
      </x:c>
      <x:c r="N9" s="10" t="str">
        <x:v>shell.standard</x:v>
      </x:c>
      <x:c r="O9" s="10" t="str">
        <x:v>utility.none</x:v>
      </x:c>
      <x:c r="P9" s="10" t="str">
        <x:v>штр./волну</x:v>
      </x:c>
    </x:row>
    <x:row r="10" ht="28" customHeight="1">
      <x:c r="A10" s="11" t="str">
        <x:v>Бронированная баррикада</x:v>
      </x:c>
      <x:c r="B10" s="12" t="n">
        <x:f>ROUNDUP(INDEX('Детали зданий'!$G$6:$G$20,MATCH(L10,'Детали зданий'!$A$6:$A$20,0))+INDEX('Детали зданий'!$G$6:$G$20,MATCH(M10,'Детали зданий'!$A$6:$A$20,0))+INDEX('Детали зданий'!$G$6:$G$20,MATCH(N10,'Детали зданий'!$A$6:$A$20,0))+INDEX('Детали зданий'!$G$6:$G$20,MATCH(O10,'Детали зданий'!$A$6:$A$20,0)),0)</x:f>
        <x:v>38</x:v>
      </x:c>
      <x:c r="C10" s="11" t="n">
        <x:f>INDEX('Детали зданий'!$J$6:$J$20,MATCH(L10,'Детали зданий'!$A$6:$A$20,0))*INDEX('Детали зданий'!$K$6:$K$20,MATCH(N10,'Детали зданий'!$A$6:$A$20,0))*INDEX('Детали зданий'!$K$6:$K$20,MATCH(O10,'Детали зданий'!$A$6:$A$20,0))</x:f>
        <x:v>300</x:v>
      </x:c>
      <x:c r="D10" s="12" t="n">
        <x:f>INDEX('Детали зданий'!$H$6:$H$20,MATCH(L10,'Детали зданий'!$A$6:$A$20,0))+INDEX('Детали зданий'!$H$6:$H$20,MATCH(M10,'Детали зданий'!$A$6:$A$20,0))+INDEX('Детали зданий'!$H$6:$H$20,MATCH(N10,'Детали зданий'!$A$6:$A$20,0))+INDEX('Детали зданий'!$H$6:$H$20,MATCH(O10,'Детали зданий'!$A$6:$A$20,0))</x:f>
        <x:v>5</x:v>
      </x:c>
      <x:c r="E10" s="12" t="n">
        <x:f>INDEX('Детали зданий'!$I$6:$I$20,MATCH(L10,'Детали зданий'!$A$6:$A$20,0))</x:f>
        <x:v>6</x:v>
      </x:c>
      <x:c r="F10" s="11" t="n">
        <x:f>INDEX('Детали зданий'!$L$6:$L$20,MATCH(M10,'Детали зданий'!$A$6:$A$20,0))*INDEX('Детали зданий'!$M$6:$M$20,MATCH(O10,'Детали зданий'!$A$6:$A$20,0))</x:f>
        <x:v>0</x:v>
      </x:c>
      <x:c r="G10" s="11" t="n">
        <x:f>INDEX('Детали зданий'!$N$6:$N$20,MATCH(M10,'Детали зданий'!$A$6:$A$20,0))*INDEX('Детали зданий'!$O$6:$O$20,MATCH(O10,'Детали зданий'!$A$6:$A$20,0))</x:f>
        <x:v>0</x:v>
      </x:c>
      <x:c r="H10" s="11" t="n">
        <x:f>INDEX('Детали зданий'!$P$6:$P$20,MATCH(M10,'Детали зданий'!$A$6:$A$20,0))</x:f>
        <x:v>1</x:v>
      </x:c>
      <x:c r="I10" s="11" t="n">
        <x:f>INDEX('Детали зданий'!$Q$6:$Q$20,MATCH(O10,'Детали зданий'!$A$6:$A$20,0))</x:f>
        <x:v>0.2</x:v>
      </x:c>
      <x:c r="J10" s="12" t="n">
        <x:f>MAX(INDEX('Детали зданий'!$E$6:$E$20,MATCH(L10,'Детали зданий'!$A$6:$A$20,0)),INDEX('Детали зданий'!$E$6:$E$20,MATCH(M10,'Детали зданий'!$A$6:$A$20,0)),INDEX('Детали зданий'!$E$6:$E$20,MATCH(N10,'Детали зданий'!$A$6:$A$20,0)),INDEX('Детали зданий'!$E$6:$E$20,MATCH(O10,'Детали зданий'!$A$6:$A$20,0)))</x:f>
        <x:v>4</x:v>
      </x:c>
      <x:c r="K10" s="12" t="str">
        <x:f>IF(P10="штр./волну",ROUNDUP(B10/G10,0),"—")</x:f>
        <x:v>—</x:v>
      </x:c>
      <x:c r="L10" s="11" t="str">
        <x:v>site.wall</x:v>
      </x:c>
      <x:c r="M10" s="11" t="str">
        <x:v>function.wall</x:v>
      </x:c>
      <x:c r="N10" s="11" t="str">
        <x:v>shell.reinforced</x:v>
      </x:c>
      <x:c r="O10" s="11" t="str">
        <x:v>utility.armor</x:v>
      </x:c>
      <x:c r="P10" s="11" t="str">
        <x:v>не применяется</x:v>
      </x:c>
    </x:row>
    <x:row r="11" ht="28" customHeight="1">
      <x:c r="A11" s="10" t="str">
        <x:v>Дальний ремонт</x:v>
      </x:c>
      <x:c r="B11" s="13" t="n">
        <x:f>ROUNDUP(INDEX('Детали зданий'!$G$6:$G$20,MATCH(L11,'Детали зданий'!$A$6:$A$20,0))+INDEX('Детали зданий'!$G$6:$G$20,MATCH(M11,'Детали зданий'!$A$6:$A$20,0))+INDEX('Детали зданий'!$G$6:$G$20,MATCH(N11,'Детали зданий'!$A$6:$A$20,0))+INDEX('Детали зданий'!$G$6:$G$20,MATCH(O11,'Детали зданий'!$A$6:$A$20,0)),0)</x:f>
        <x:v>80</x:v>
      </x:c>
      <x:c r="C11" s="10" t="n">
        <x:f>INDEX('Детали зданий'!$J$6:$J$20,MATCH(L11,'Детали зданий'!$A$6:$A$20,0))*INDEX('Детали зданий'!$K$6:$K$20,MATCH(N11,'Детали зданий'!$A$6:$A$20,0))*INDEX('Детали зданий'!$K$6:$K$20,MATCH(O11,'Детали зданий'!$A$6:$A$20,0))</x:f>
        <x:v>70</x:v>
      </x:c>
      <x:c r="D11" s="13" t="n">
        <x:f>INDEX('Детали зданий'!$H$6:$H$20,MATCH(L11,'Детали зданий'!$A$6:$A$20,0))+INDEX('Детали зданий'!$H$6:$H$20,MATCH(M11,'Детали зданий'!$A$6:$A$20,0))+INDEX('Детали зданий'!$H$6:$H$20,MATCH(N11,'Детали зданий'!$A$6:$A$20,0))+INDEX('Детали зданий'!$H$6:$H$20,MATCH(O11,'Детали зданий'!$A$6:$A$20,0))</x:f>
        <x:v>5</x:v>
      </x:c>
      <x:c r="E11" s="13" t="n">
        <x:f>INDEX('Детали зданий'!$I$6:$I$20,MATCH(L11,'Детали зданий'!$A$6:$A$20,0))</x:f>
        <x:v>6</x:v>
      </x:c>
      <x:c r="F11" s="10" t="n">
        <x:f>INDEX('Детали зданий'!$L$6:$L$20,MATCH(M11,'Детали зданий'!$A$6:$A$20,0))*INDEX('Детали зданий'!$M$6:$M$20,MATCH(O11,'Детали зданий'!$A$6:$A$20,0))</x:f>
        <x:v>6.5</x:v>
      </x:c>
      <x:c r="G11" s="10" t="n">
        <x:f>INDEX('Детали зданий'!$N$6:$N$20,MATCH(M11,'Детали зданий'!$A$6:$A$20,0))*INDEX('Детали зданий'!$O$6:$O$20,MATCH(O11,'Детали зданий'!$A$6:$A$20,0))</x:f>
        <x:v>4.800000000000001</x:v>
      </x:c>
      <x:c r="H11" s="10" t="n">
        <x:f>INDEX('Детали зданий'!$P$6:$P$20,MATCH(M11,'Детали зданий'!$A$6:$A$20,0))</x:f>
        <x:v>1</x:v>
      </x:c>
      <x:c r="I11" s="10" t="n">
        <x:f>INDEX('Детали зданий'!$Q$6:$Q$20,MATCH(O11,'Детали зданий'!$A$6:$A$20,0))</x:f>
        <x:v>0</x:v>
      </x:c>
      <x:c r="J11" s="13" t="n">
        <x:f>MAX(INDEX('Детали зданий'!$E$6:$E$20,MATCH(L11,'Детали зданий'!$A$6:$A$20,0)),INDEX('Детали зданий'!$E$6:$E$20,MATCH(M11,'Детали зданий'!$A$6:$A$20,0)),INDEX('Детали зданий'!$E$6:$E$20,MATCH(N11,'Детали зданий'!$A$6:$A$20,0)),INDEX('Детали зданий'!$E$6:$E$20,MATCH(O11,'Детали зданий'!$A$6:$A$20,0)))</x:f>
        <x:v>5</x:v>
      </x:c>
      <x:c r="K11" s="13" t="str">
        <x:f>IF(P11="штр./волну",ROUNDUP(B11/G11,0),"—")</x:f>
        <x:v>—</x:v>
      </x:c>
      <x:c r="L11" s="10" t="str">
        <x:v>site.repair</x:v>
      </x:c>
      <x:c r="M11" s="10" t="str">
        <x:v>function.repair</x:v>
      </x:c>
      <x:c r="N11" s="10" t="str">
        <x:v>shell.standard</x:v>
      </x:c>
      <x:c r="O11" s="10" t="str">
        <x:v>utility.range</x:v>
      </x:c>
      <x:c r="P11" s="10" t="str">
        <x:v>HP/с</x:v>
      </x:c>
    </x:row>
    <x:row r="12" ht="28" customHeight="1">
      <x:c r="A12" s="11" t="str">
        <x:v>Экономичный насос</x:v>
      </x:c>
      <x:c r="B12" s="12" t="n">
        <x:f>ROUNDUP(INDEX('Детали зданий'!$G$6:$G$20,MATCH(L12,'Детали зданий'!$A$6:$A$20,0))+INDEX('Детали зданий'!$G$6:$G$20,MATCH(M12,'Детали зданий'!$A$6:$A$20,0))+INDEX('Детали зданий'!$G$6:$G$20,MATCH(N12,'Детали зданий'!$A$6:$A$20,0))+INDEX('Детали зданий'!$G$6:$G$20,MATCH(O12,'Детали зданий'!$A$6:$A$20,0)),0)</x:f>
        <x:v>72</x:v>
      </x:c>
      <x:c r="C12" s="11" t="n">
        <x:f>INDEX('Детали зданий'!$J$6:$J$20,MATCH(L12,'Детали зданий'!$A$6:$A$20,0))*INDEX('Детали зданий'!$K$6:$K$20,MATCH(N12,'Детали зданий'!$A$6:$A$20,0))*INDEX('Детали зданий'!$K$6:$K$20,MATCH(O12,'Детали зданий'!$A$6:$A$20,0))</x:f>
        <x:v>68</x:v>
      </x:c>
      <x:c r="D12" s="12" t="n">
        <x:f>INDEX('Детали зданий'!$H$6:$H$20,MATCH(L12,'Детали зданий'!$A$6:$A$20,0))+INDEX('Детали зданий'!$H$6:$H$20,MATCH(M12,'Детали зданий'!$A$6:$A$20,0))+INDEX('Детали зданий'!$H$6:$H$20,MATCH(N12,'Детали зданий'!$A$6:$A$20,0))+INDEX('Детали зданий'!$H$6:$H$20,MATCH(O12,'Детали зданий'!$A$6:$A$20,0))</x:f>
        <x:v>5</x:v>
      </x:c>
      <x:c r="E12" s="12" t="n">
        <x:f>INDEX('Детали зданий'!$I$6:$I$20,MATCH(L12,'Детали зданий'!$A$6:$A$20,0))</x:f>
        <x:v>6</x:v>
      </x:c>
      <x:c r="F12" s="11" t="n">
        <x:f>INDEX('Детали зданий'!$L$6:$L$20,MATCH(M12,'Детали зданий'!$A$6:$A$20,0))*INDEX('Детали зданий'!$M$6:$M$20,MATCH(O12,'Детали зданий'!$A$6:$A$20,0))</x:f>
        <x:v>0</x:v>
      </x:c>
      <x:c r="G12" s="11" t="n">
        <x:f>INDEX('Детали зданий'!$N$6:$N$20,MATCH(M12,'Детали зданий'!$A$6:$A$20,0))*INDEX('Детали зданий'!$O$6:$O$20,MATCH(O12,'Детали зданий'!$A$6:$A$20,0))</x:f>
        <x:v>15</x:v>
      </x:c>
      <x:c r="H12" s="11" t="n">
        <x:f>INDEX('Детали зданий'!$P$6:$P$20,MATCH(M12,'Детали зданий'!$A$6:$A$20,0))</x:f>
        <x:v>1</x:v>
      </x:c>
      <x:c r="I12" s="11" t="n">
        <x:f>INDEX('Детали зданий'!$Q$6:$Q$20,MATCH(O12,'Детали зданий'!$A$6:$A$20,0))</x:f>
        <x:v>0</x:v>
      </x:c>
      <x:c r="J12" s="12" t="n">
        <x:f>MAX(INDEX('Детали зданий'!$E$6:$E$20,MATCH(L12,'Детали зданий'!$A$6:$A$20,0)),INDEX('Детали зданий'!$E$6:$E$20,MATCH(M12,'Детали зданий'!$A$6:$A$20,0)),INDEX('Детали зданий'!$E$6:$E$20,MATCH(N12,'Детали зданий'!$A$6:$A$20,0)),INDEX('Детали зданий'!$E$6:$E$20,MATCH(O12,'Детали зданий'!$A$6:$A$20,0)))</x:f>
        <x:v>8</x:v>
      </x:c>
      <x:c r="K12" s="12" t="n">
        <x:f>IF(P12="штр./волну",ROUNDUP(B12/G12,0),"—")</x:f>
        <x:v>5</x:v>
      </x:c>
      <x:c r="L12" s="11" t="str">
        <x:v>site.generator</x:v>
      </x:c>
      <x:c r="M12" s="11" t="str">
        <x:v>function.generator</x:v>
      </x:c>
      <x:c r="N12" s="11" t="str">
        <x:v>shell.standard</x:v>
      </x:c>
      <x:c r="O12" s="11" t="str">
        <x:v>utility.economy</x:v>
      </x:c>
      <x:c r="P12" s="11" t="str">
        <x:v>штр./волну</x:v>
      </x:c>
    </x:row>
  </x:sheetData>
  <x:conditionalFormatting sqref="D6:D15">
    <x:cfRule type="expression" dxfId="1" priority="1">
      <x:formula>D6&gt;E6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c83053a9c1c455e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8" hidden="0" customWidth="1"/>
    <x:col min="2" max="2" width="38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18" t="str">
        <x:v>Уровень и однократные покупки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 t="str">
        <x:v>Уровень игрока</x:v>
      </x:c>
      <x:c r="B4" s="19" t="n">
        <x:v>1</x:v>
      </x:c>
      <x:c r="C4" s="1" t="str">
        <x:v>Золото игрока</x:v>
      </x:c>
      <x:c r="D4" s="19" t="n">
        <x:v>94</x:v>
      </x:c>
      <x:c r="E4" s="1"/>
      <x:c r="F4" s="1"/>
      <x:c r="G4" s="1"/>
      <x:c r="H4" s="1"/>
      <x:c r="I4" s="1"/>
      <x:c r="J4" s="1"/>
    </x:row>
    <x:row r="5">
      <x:c r="A5" s="1" t="str">
        <x:v>XP за победу</x:v>
      </x:c>
      <x:c r="B5" s="1" t="n">
        <x:f>'Правила'!B9*'Правила'!B12+'Правила'!B13</x:f>
        <x:v>120</x:v>
      </x:c>
      <x:c r="C5" s="1" t="str">
        <x:v>Золото за победу</x:v>
      </x:c>
      <x:c r="D5" s="1" t="n">
        <x:f>'Правила'!B9*'Правила'!B10+'Правила'!B11</x:f>
        <x:v>94</x:v>
      </x:c>
      <x:c r="E5" s="1"/>
      <x:c r="F5" s="1"/>
      <x:c r="G5" s="1"/>
      <x:c r="H5" s="1"/>
      <x:c r="I5" s="1"/>
      <x:c r="J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</x:row>
    <x:row r="7" ht="46" customHeight="1">
      <x:c r="A7" s="6" t="str">
        <x:v>Уровень</x:v>
      </x:c>
      <x:c r="B7" s="6" t="str">
        <x:v>XP всего</x:v>
      </x:c>
      <x:c r="C7" s="6" t="str">
        <x:v>Побед до уровня</x:v>
      </x:c>
      <x:c r="D7" s="6" t="str">
        <x:v>Цена открываемых</x:v>
      </x:c>
      <x:c r="E7" s="6" t="str">
        <x:v>Цена всех до уровня</x:v>
      </x:c>
      <x:c r="F7" s="6" t="str">
        <x:v>Побед на все покупки</x:v>
      </x:c>
      <x:c r="G7" s="1"/>
      <x:c r="H7" s="1"/>
      <x:c r="I7" s="1"/>
      <x:c r="J7" s="1"/>
    </x:row>
    <x:row r="8">
      <x:c r="A8" s="1" t="n">
        <x:v>1</x:v>
      </x:c>
      <x:c r="B8" s="1" t="n">
        <x:v>0</x:v>
      </x:c>
      <x:c r="C8" s="1" t="n">
        <x:f>ROUNDUP(B8/$B$5,0)</x:f>
        <x:v>0</x:v>
      </x:c>
      <x:c r="D8" s="1" t="n">
        <x:f>SUMIFS($E$20:$E$73,$D$20:$D$73,A8)</x:f>
        <x:v>0</x:v>
      </x:c>
      <x:c r="E8" s="1" t="n">
        <x:f>SUM($D$8:D8)</x:f>
        <x:v>0</x:v>
      </x:c>
      <x:c r="F8" s="1" t="n">
        <x:f>ROUNDUP(E8/$D$5,0)</x:f>
        <x:v>0</x:v>
      </x:c>
      <x:c r="G8" s="1"/>
      <x:c r="H8" s="1"/>
      <x:c r="I8" s="1"/>
      <x:c r="J8" s="1"/>
    </x:row>
    <x:row r="9">
      <x:c r="A9" s="1" t="n">
        <x:v>2</x:v>
      </x:c>
      <x:c r="B9" s="1" t="n">
        <x:v>100</x:v>
      </x:c>
      <x:c r="C9" s="1" t="n">
        <x:f>ROUNDUP(B9/$B$5,0)</x:f>
        <x:v>1</x:v>
      </x:c>
      <x:c r="D9" s="1" t="n">
        <x:f>SUMIFS($E$20:$E$73,$D$20:$D$73,A9)</x:f>
        <x:v>195</x:v>
      </x:c>
      <x:c r="E9" s="1" t="n">
        <x:f>SUM($D$8:D9)</x:f>
        <x:v>195</x:v>
      </x:c>
      <x:c r="F9" s="1" t="n">
        <x:f>ROUNDUP(E9/$D$5,0)</x:f>
        <x:v>3</x:v>
      </x:c>
      <x:c r="G9" s="1"/>
      <x:c r="H9" s="1"/>
      <x:c r="I9" s="1"/>
      <x:c r="J9" s="1"/>
    </x:row>
    <x:row r="10">
      <x:c r="A10" s="1" t="n">
        <x:v>3</x:v>
      </x:c>
      <x:c r="B10" s="1" t="n">
        <x:v>230</x:v>
      </x:c>
      <x:c r="C10" s="1" t="n">
        <x:f>ROUNDUP(B10/$B$5,0)</x:f>
        <x:v>2</x:v>
      </x:c>
      <x:c r="D10" s="1" t="n">
        <x:f>SUMIFS($E$20:$E$73,$D$20:$D$73,A10)</x:f>
        <x:v>330</x:v>
      </x:c>
      <x:c r="E10" s="1" t="n">
        <x:f>SUM($D$8:D10)</x:f>
        <x:v>525</x:v>
      </x:c>
      <x:c r="F10" s="1" t="n">
        <x:f>ROUNDUP(E10/$D$5,0)</x:f>
        <x:v>6</x:v>
      </x:c>
      <x:c r="G10" s="1"/>
      <x:c r="H10" s="1"/>
      <x:c r="I10" s="1"/>
      <x:c r="J10" s="1"/>
    </x:row>
    <x:row r="11">
      <x:c r="A11" s="1" t="n">
        <x:v>4</x:v>
      </x:c>
      <x:c r="B11" s="1" t="n">
        <x:v>390</x:v>
      </x:c>
      <x:c r="C11" s="1" t="n">
        <x:f>ROUNDUP(B11/$B$5,0)</x:f>
        <x:v>4</x:v>
      </x:c>
      <x:c r="D11" s="1" t="n">
        <x:f>SUMIFS($E$20:$E$73,$D$20:$D$73,A11)</x:f>
        <x:v>480</x:v>
      </x:c>
      <x:c r="E11" s="1" t="n">
        <x:f>SUM($D$8:D11)</x:f>
        <x:v>1005</x:v>
      </x:c>
      <x:c r="F11" s="1" t="n">
        <x:f>ROUNDUP(E11/$D$5,0)</x:f>
        <x:v>11</x:v>
      </x:c>
      <x:c r="G11" s="1"/>
      <x:c r="H11" s="1"/>
      <x:c r="I11" s="1"/>
      <x:c r="J11" s="1"/>
    </x:row>
    <x:row r="12">
      <x:c r="A12" s="1" t="n">
        <x:v>5</x:v>
      </x:c>
      <x:c r="B12" s="1" t="n">
        <x:v>580</x:v>
      </x:c>
      <x:c r="C12" s="1" t="n">
        <x:f>ROUNDUP(B12/$B$5,0)</x:f>
        <x:v>5</x:v>
      </x:c>
      <x:c r="D12" s="1" t="n">
        <x:f>SUMIFS($E$20:$E$73,$D$20:$D$73,A12)</x:f>
        <x:v>380</x:v>
      </x:c>
      <x:c r="E12" s="1" t="n">
        <x:f>SUM($D$8:D12)</x:f>
        <x:v>1385</x:v>
      </x:c>
      <x:c r="F12" s="1" t="n">
        <x:f>ROUNDUP(E12/$D$5,0)</x:f>
        <x:v>15</x:v>
      </x:c>
      <x:c r="G12" s="1"/>
      <x:c r="H12" s="1"/>
      <x:c r="I12" s="1"/>
      <x:c r="J12" s="1"/>
    </x:row>
    <x:row r="13">
      <x:c r="A13" s="1" t="n">
        <x:v>6</x:v>
      </x:c>
      <x:c r="B13" s="1" t="n">
        <x:v>800</x:v>
      </x:c>
      <x:c r="C13" s="1" t="n">
        <x:f>ROUNDUP(B13/$B$5,0)</x:f>
        <x:v>7</x:v>
      </x:c>
      <x:c r="D13" s="1" t="n">
        <x:f>SUMIFS($E$20:$E$73,$D$20:$D$73,A13)</x:f>
        <x:v>240</x:v>
      </x:c>
      <x:c r="E13" s="1" t="n">
        <x:f>SUM($D$8:D13)</x:f>
        <x:v>1625</x:v>
      </x:c>
      <x:c r="F13" s="1" t="n">
        <x:f>ROUNDUP(E13/$D$5,0)</x:f>
        <x:v>18</x:v>
      </x:c>
      <x:c r="G13" s="1"/>
      <x:c r="H13" s="1"/>
      <x:c r="I13" s="1"/>
      <x:c r="J13" s="1"/>
    </x:row>
    <x:row r="14">
      <x:c r="A14" s="1" t="n">
        <x:v>7</x:v>
      </x:c>
      <x:c r="B14" s="1" t="n">
        <x:v>1050</x:v>
      </x:c>
      <x:c r="C14" s="1" t="n">
        <x:f>ROUNDUP(B14/$B$5,0)</x:f>
        <x:v>9</x:v>
      </x:c>
      <x:c r="D14" s="1" t="n">
        <x:f>SUMIFS($E$20:$E$73,$D$20:$D$73,A14)</x:f>
        <x:v>310</x:v>
      </x:c>
      <x:c r="E14" s="1" t="n">
        <x:f>SUM($D$8:D14)</x:f>
        <x:v>1935</x:v>
      </x:c>
      <x:c r="F14" s="1" t="n">
        <x:f>ROUNDUP(E14/$D$5,0)</x:f>
        <x:v>21</x:v>
      </x:c>
      <x:c r="G14" s="1"/>
      <x:c r="H14" s="1"/>
      <x:c r="I14" s="1"/>
      <x:c r="J14" s="1"/>
    </x:row>
    <x:row r="15">
      <x:c r="A15" s="1" t="n">
        <x:v>8</x:v>
      </x:c>
      <x:c r="B15" s="1" t="n">
        <x:v>1330</x:v>
      </x:c>
      <x:c r="C15" s="1" t="n">
        <x:f>ROUNDUP(B15/$B$5,0)</x:f>
        <x:v>12</x:v>
      </x:c>
      <x:c r="D15" s="1" t="n">
        <x:f>SUMIFS($E$20:$E$73,$D$20:$D$73,A15)</x:f>
        <x:v>180</x:v>
      </x:c>
      <x:c r="E15" s="1" t="n">
        <x:f>SUM($D$8:D15)</x:f>
        <x:v>2115</x:v>
      </x:c>
      <x:c r="F15" s="1" t="n">
        <x:f>ROUNDUP(E15/$D$5,0)</x:f>
        <x:v>23</x:v>
      </x:c>
      <x:c r="G15" s="1"/>
      <x:c r="H15" s="1"/>
      <x:c r="I15" s="1"/>
      <x:c r="J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</x:row>
    <x:row r="18">
      <x:c r="A18" s="1" t="str">
        <x:v>Стоимость уровня не списывается: таблица суммирует доступные покупки, выбор остаётся игроку.</x:v>
      </x:c>
      <x:c r="B18" s="1"/>
      <x:c r="C18" s="1"/>
      <x:c r="D18" s="1"/>
      <x:c r="E18" s="1"/>
      <x:c r="F18" s="1"/>
      <x:c r="G18" s="1"/>
      <x:c r="H18" s="1"/>
      <x:c r="I18" s="1"/>
      <x:c r="J18" s="1"/>
    </x:row>
    <x:row r="19" ht="32" customHeight="1">
      <x:c r="A19" s="5" t="str">
        <x:v>ID</x:v>
      </x:c>
      <x:c r="B19" s="5" t="str">
        <x:v>Деталь</x:v>
      </x:c>
      <x:c r="C19" s="5" t="str">
        <x:v>Категория</x:v>
      </x:c>
      <x:c r="D19" s="5" t="str">
        <x:v>Уровень</x:v>
      </x:c>
      <x:c r="E19" s="5" t="str">
        <x:v>Золото</x:v>
      </x:c>
      <x:c r="F19" s="5" t="str">
        <x:v>Куплено: 0/1</x:v>
      </x:c>
      <x:c r="G19" s="5" t="str">
        <x:v>Доступность</x:v>
      </x:c>
      <x:c r="H19" s="1"/>
      <x:c r="I19" s="1"/>
      <x:c r="J19" s="1"/>
    </x:row>
    <x:row r="20">
      <x:c r="A20" s="1" t="str">
        <x:v>frame.standard</x:v>
      </x:c>
      <x:c r="B20" s="1" t="str">
        <x:v>Обычная рамка</x:v>
      </x:c>
      <x:c r="C20" s="1" t="str">
        <x:v>Рамка</x:v>
      </x:c>
      <x:c r="D20" s="1" t="n">
        <x:f>'Детали основы'!D6</x:f>
        <x:v>1</x:v>
      </x:c>
      <x:c r="E20" s="1" t="n">
        <x:f>'Детали основы'!E6</x:f>
        <x:v>0</x:v>
      </x:c>
      <x:c r="F20" s="19" t="n">
        <x:v>1</x:v>
      </x:c>
      <x:c r="G20" s="1" t="str">
        <x:f>IF(F20=1,"Открыто",IF($B$4&lt;D20,"Нужен уровень",IF($D$4&lt;E20,"Не хватает золота","Можно купить")))</x:f>
        <x:v>Открыто</x:v>
      </x:c>
      <x:c r="H20" s="1"/>
      <x:c r="I20" s="1"/>
      <x:c r="J20" s="1"/>
    </x:row>
    <x:row r="21">
      <x:c r="A21" s="1" t="str">
        <x:v>frame.heavy</x:v>
      </x:c>
      <x:c r="B21" s="1" t="str">
        <x:v>Тяжёлая рамка</x:v>
      </x:c>
      <x:c r="C21" s="1" t="str">
        <x:v>Рамка</x:v>
      </x:c>
      <x:c r="D21" s="1" t="n">
        <x:f>'Детали основы'!D7</x:f>
        <x:v>3</x:v>
      </x:c>
      <x:c r="E21" s="1" t="n">
        <x:f>'Детали основы'!E7</x:f>
        <x:v>90</x:v>
      </x:c>
      <x:c r="F21" s="19" t="n">
        <x:v>0</x:v>
      </x:c>
      <x:c r="G21" s="1" t="str">
        <x:f>IF(F21=1,"Открыто",IF($B$4&lt;D21,"Нужен уровень",IF($D$4&lt;E21,"Не хватает золота","Можно купить")))</x:f>
        <x:v>Нужен уровень</x:v>
      </x:c>
      <x:c r="H21" s="1"/>
      <x:c r="I21" s="1"/>
      <x:c r="J21" s="1"/>
    </x:row>
    <x:row r="22">
      <x:c r="A22" s="1" t="str">
        <x:v>frame.precision</x:v>
      </x:c>
      <x:c r="B22" s="1" t="str">
        <x:v>Точная рамка</x:v>
      </x:c>
      <x:c r="C22" s="1" t="str">
        <x:v>Рамка</x:v>
      </x:c>
      <x:c r="D22" s="1" t="n">
        <x:f>'Детали основы'!D8</x:f>
        <x:v>4</x:v>
      </x:c>
      <x:c r="E22" s="1" t="n">
        <x:f>'Детали основы'!E8</x:f>
        <x:v>90</x:v>
      </x:c>
      <x:c r="F22" s="19" t="n">
        <x:v>0</x:v>
      </x:c>
      <x:c r="G22" s="1" t="str">
        <x:f>IF(F22=1,"Открыто",IF($B$4&lt;D22,"Нужен уровень",IF($D$4&lt;E22,"Не хватает золота","Можно купить")))</x:f>
        <x:v>Нужен уровень</x:v>
      </x:c>
      <x:c r="H22" s="1"/>
      <x:c r="I22" s="1"/>
      <x:c r="J22" s="1"/>
    </x:row>
    <x:row r="23">
      <x:c r="A23" s="1" t="str">
        <x:v>frame.battery</x:v>
      </x:c>
      <x:c r="B23" s="1" t="str">
        <x:v>Батарейная рамка</x:v>
      </x:c>
      <x:c r="C23" s="1" t="str">
        <x:v>Рамка</x:v>
      </x:c>
      <x:c r="D23" s="1" t="n">
        <x:f>'Детали основы'!D9</x:f>
        <x:v>7</x:v>
      </x:c>
      <x:c r="E23" s="1" t="n">
        <x:f>'Детали основы'!E9</x:f>
        <x:v>160</x:v>
      </x:c>
      <x:c r="F23" s="19" t="n">
        <x:v>0</x:v>
      </x:c>
      <x:c r="G23" s="1" t="str">
        <x:f>IF(F23=1,"Открыто",IF($B$4&lt;D23,"Нужен уровень",IF($D$4&lt;E23,"Не хватает золота","Можно купить")))</x:f>
        <x:v>Нужен уровень</x:v>
      </x:c>
      <x:c r="H23" s="1"/>
      <x:c r="I23" s="1"/>
      <x:c r="J23" s="1"/>
    </x:row>
    <x:row r="24">
      <x:c r="A24" s="1" t="str">
        <x:v>hull.standard</x:v>
      </x:c>
      <x:c r="B24" s="1" t="str">
        <x:v>Обычный корпус</x:v>
      </x:c>
      <x:c r="C24" s="1" t="str">
        <x:v>Корпус</x:v>
      </x:c>
      <x:c r="D24" s="1" t="n">
        <x:f>'Детали основы'!D10</x:f>
        <x:v>1</x:v>
      </x:c>
      <x:c r="E24" s="1" t="n">
        <x:f>'Детали основы'!E10</x:f>
        <x:v>0</x:v>
      </x:c>
      <x:c r="F24" s="19" t="n">
        <x:v>1</x:v>
      </x:c>
      <x:c r="G24" s="1" t="str">
        <x:f>IF(F24=1,"Открыто",IF($B$4&lt;D24,"Нужен уровень",IF($D$4&lt;E24,"Не хватает золота","Можно купить")))</x:f>
        <x:v>Открыто</x:v>
      </x:c>
      <x:c r="H24" s="1"/>
      <x:c r="I24" s="1"/>
      <x:c r="J24" s="1"/>
    </x:row>
    <x:row r="25">
      <x:c r="A25" s="1" t="str">
        <x:v>hull.light</x:v>
      </x:c>
      <x:c r="B25" s="1" t="str">
        <x:v>Облегчённый корпус</x:v>
      </x:c>
      <x:c r="C25" s="1" t="str">
        <x:v>Корпус</x:v>
      </x:c>
      <x:c r="D25" s="1" t="n">
        <x:f>'Детали основы'!D11</x:f>
        <x:v>2</x:v>
      </x:c>
      <x:c r="E25" s="1" t="n">
        <x:f>'Детали основы'!E11</x:f>
        <x:v>40</x:v>
      </x:c>
      <x:c r="F25" s="19" t="n">
        <x:v>0</x:v>
      </x:c>
      <x:c r="G25" s="1" t="str">
        <x:f>IF(F25=1,"Открыто",IF($B$4&lt;D25,"Нужен уровень",IF($D$4&lt;E25,"Не хватает золота","Можно купить")))</x:f>
        <x:v>Нужен уровень</x:v>
      </x:c>
      <x:c r="H25" s="1"/>
      <x:c r="I25" s="1"/>
      <x:c r="J25" s="1"/>
    </x:row>
    <x:row r="26">
      <x:c r="A26" s="1" t="str">
        <x:v>hull.reinforced</x:v>
      </x:c>
      <x:c r="B26" s="1" t="str">
        <x:v>Усиленный корпус</x:v>
      </x:c>
      <x:c r="C26" s="1" t="str">
        <x:v>Корпус</x:v>
      </x:c>
      <x:c r="D26" s="1" t="n">
        <x:f>'Детали основы'!D12</x:f>
        <x:v>4</x:v>
      </x:c>
      <x:c r="E26" s="1" t="n">
        <x:f>'Детали основы'!E12</x:f>
        <x:v>80</x:v>
      </x:c>
      <x:c r="F26" s="19" t="n">
        <x:v>0</x:v>
      </x:c>
      <x:c r="G26" s="1" t="str">
        <x:f>IF(F26=1,"Открыто",IF($B$4&lt;D26,"Нужен уровень",IF($D$4&lt;E26,"Не хватает золота","Можно купить")))</x:f>
        <x:v>Нужен уровень</x:v>
      </x:c>
      <x:c r="H26" s="1"/>
      <x:c r="I26" s="1"/>
      <x:c r="J26" s="1"/>
    </x:row>
    <x:row r="27">
      <x:c r="A27" s="1" t="str">
        <x:v>armor.none</x:v>
      </x:c>
      <x:c r="B27" s="1" t="str">
        <x:v>Без брони</x:v>
      </x:c>
      <x:c r="C27" s="1" t="str">
        <x:v>Броня</x:v>
      </x:c>
      <x:c r="D27" s="1" t="n">
        <x:f>'Детали основы'!D13</x:f>
        <x:v>1</x:v>
      </x:c>
      <x:c r="E27" s="1" t="n">
        <x:f>'Детали основы'!E13</x:f>
        <x:v>0</x:v>
      </x:c>
      <x:c r="F27" s="19" t="n">
        <x:v>1</x:v>
      </x:c>
      <x:c r="G27" s="1" t="str">
        <x:f>IF(F27=1,"Открыто",IF($B$4&lt;D27,"Нужен уровень",IF($D$4&lt;E27,"Не хватает золота","Можно купить")))</x:f>
        <x:v>Открыто</x:v>
      </x:c>
      <x:c r="H27" s="1"/>
      <x:c r="I27" s="1"/>
      <x:c r="J27" s="1"/>
    </x:row>
    <x:row r="28">
      <x:c r="A28" s="1" t="str">
        <x:v>armor.plate</x:v>
      </x:c>
      <x:c r="B28" s="1" t="str">
        <x:v>Бронепластины</x:v>
      </x:c>
      <x:c r="C28" s="1" t="str">
        <x:v>Броня</x:v>
      </x:c>
      <x:c r="D28" s="1" t="n">
        <x:f>'Детали основы'!D14</x:f>
        <x:v>1</x:v>
      </x:c>
      <x:c r="E28" s="1" t="n">
        <x:f>'Детали основы'!E14</x:f>
        <x:v>0</x:v>
      </x:c>
      <x:c r="F28" s="19" t="n">
        <x:v>1</x:v>
      </x:c>
      <x:c r="G28" s="1" t="str">
        <x:f>IF(F28=1,"Открыто",IF($B$4&lt;D28,"Нужен уровень",IF($D$4&lt;E28,"Не хватает золота","Можно купить")))</x:f>
        <x:v>Открыто</x:v>
      </x:c>
      <x:c r="H28" s="1"/>
      <x:c r="I28" s="1"/>
      <x:c r="J28" s="1"/>
    </x:row>
    <x:row r="29">
      <x:c r="A29" s="1" t="str">
        <x:v>armor.front</x:v>
      </x:c>
      <x:c r="B29" s="1" t="str">
        <x:v>Фронтальный щит</x:v>
      </x:c>
      <x:c r="C29" s="1" t="str">
        <x:v>Броня</x:v>
      </x:c>
      <x:c r="D29" s="1" t="n">
        <x:f>'Детали основы'!D15</x:f>
        <x:v>5</x:v>
      </x:c>
      <x:c r="E29" s="1" t="n">
        <x:f>'Детали основы'!E15</x:f>
        <x:v>100</x:v>
      </x:c>
      <x:c r="F29" s="19" t="n">
        <x:v>0</x:v>
      </x:c>
      <x:c r="G29" s="1" t="str">
        <x:f>IF(F29=1,"Открыто",IF($B$4&lt;D29,"Нужен уровень",IF($D$4&lt;E29,"Не хватает золота","Можно купить")))</x:f>
        <x:v>Нужен уровень</x:v>
      </x:c>
      <x:c r="H29" s="1"/>
      <x:c r="I29" s="1"/>
      <x:c r="J29" s="1"/>
    </x:row>
    <x:row r="30">
      <x:c r="A30" s="1" t="str">
        <x:v>feed.standard</x:v>
      </x:c>
      <x:c r="B30" s="1" t="str">
        <x:v>Обычная подача</x:v>
      </x:c>
      <x:c r="C30" s="1" t="str">
        <x:v>Подача</x:v>
      </x:c>
      <x:c r="D30" s="1" t="n">
        <x:f>'Детали основы'!D16</x:f>
        <x:v>1</x:v>
      </x:c>
      <x:c r="E30" s="1" t="n">
        <x:f>'Детали основы'!E16</x:f>
        <x:v>0</x:v>
      </x:c>
      <x:c r="F30" s="19" t="n">
        <x:v>1</x:v>
      </x:c>
      <x:c r="G30" s="1" t="str">
        <x:f>IF(F30=1,"Открыто",IF($B$4&lt;D30,"Нужен уровень",IF($D$4&lt;E30,"Не хватает золота","Можно купить")))</x:f>
        <x:v>Открыто</x:v>
      </x:c>
      <x:c r="H30" s="1"/>
      <x:c r="I30" s="1"/>
      <x:c r="J30" s="1"/>
    </x:row>
    <x:row r="31">
      <x:c r="A31" s="1" t="str">
        <x:v>feed.boost</x:v>
      </x:c>
      <x:c r="B31" s="1" t="str">
        <x:v>Улучшенная подача</x:v>
      </x:c>
      <x:c r="C31" s="1" t="str">
        <x:v>Подача</x:v>
      </x:c>
      <x:c r="D31" s="1" t="n">
        <x:f>'Детали основы'!D17</x:f>
        <x:v>3</x:v>
      </x:c>
      <x:c r="E31" s="1" t="n">
        <x:f>'Детали основы'!E17</x:f>
        <x:v>70</x:v>
      </x:c>
      <x:c r="F31" s="19" t="n">
        <x:v>0</x:v>
      </x:c>
      <x:c r="G31" s="1" t="str">
        <x:f>IF(F31=1,"Открыто",IF($B$4&lt;D31,"Нужен уровень",IF($D$4&lt;E31,"Не хватает золота","Можно купить")))</x:f>
        <x:v>Нужен уровень</x:v>
      </x:c>
      <x:c r="H31" s="1"/>
      <x:c r="I31" s="1"/>
      <x:c r="J31" s="1"/>
    </x:row>
    <x:row r="32">
      <x:c r="A32" s="1" t="str">
        <x:v>turn.standard</x:v>
      </x:c>
      <x:c r="B32" s="1" t="str">
        <x:v>Обычный поворот</x:v>
      </x:c>
      <x:c r="C32" s="1" t="str">
        <x:v>Поворот</x:v>
      </x:c>
      <x:c r="D32" s="1" t="n">
        <x:f>'Детали основы'!D18</x:f>
        <x:v>1</x:v>
      </x:c>
      <x:c r="E32" s="1" t="n">
        <x:f>'Детали основы'!E18</x:f>
        <x:v>0</x:v>
      </x:c>
      <x:c r="F32" s="19" t="n">
        <x:v>1</x:v>
      </x:c>
      <x:c r="G32" s="1" t="str">
        <x:f>IF(F32=1,"Открыто",IF($B$4&lt;D32,"Нужен уровень",IF($D$4&lt;E32,"Не хватает золота","Можно купить")))</x:f>
        <x:v>Открыто</x:v>
      </x:c>
      <x:c r="H32" s="1"/>
      <x:c r="I32" s="1"/>
      <x:c r="J32" s="1"/>
    </x:row>
    <x:row r="33">
      <x:c r="A33" s="1" t="str">
        <x:v>turn.quick</x:v>
      </x:c>
      <x:c r="B33" s="1" t="str">
        <x:v>Быстрый поворот</x:v>
      </x:c>
      <x:c r="C33" s="1" t="str">
        <x:v>Поворот</x:v>
      </x:c>
      <x:c r="D33" s="1" t="n">
        <x:f>'Детали основы'!D19</x:f>
        <x:v>2</x:v>
      </x:c>
      <x:c r="E33" s="1" t="n">
        <x:f>'Детали основы'!E19</x:f>
        <x:v>40</x:v>
      </x:c>
      <x:c r="F33" s="19" t="n">
        <x:v>0</x:v>
      </x:c>
      <x:c r="G33" s="1" t="str">
        <x:f>IF(F33=1,"Открыто",IF($B$4&lt;D33,"Нужен уровень",IF($D$4&lt;E33,"Не хватает золота","Можно купить")))</x:f>
        <x:v>Нужен уровень</x:v>
      </x:c>
      <x:c r="H33" s="1"/>
      <x:c r="I33" s="1"/>
      <x:c r="J33" s="1"/>
    </x:row>
    <x:row r="34">
      <x:c r="A34" s="1" t="str">
        <x:v>core.gun</x:v>
      </x:c>
      <x:c r="B34" s="1" t="str">
        <x:v>Пулемёт</x:v>
      </x:c>
      <x:c r="C34" s="1" t="str">
        <x:v>Механизм</x:v>
      </x:c>
      <x:c r="D34" s="1" t="n">
        <x:f>'Механизмы'!C6</x:f>
        <x:v>1</x:v>
      </x:c>
      <x:c r="E34" s="1" t="n">
        <x:f>'Механизмы'!D6</x:f>
        <x:v>0</x:v>
      </x:c>
      <x:c r="F34" s="19" t="n">
        <x:v>1</x:v>
      </x:c>
      <x:c r="G34" s="1" t="str">
        <x:f>IF(F34=1,"Открыто",IF($B$4&lt;D34,"Нужен уровень",IF($D$4&lt;E34,"Не хватает золота","Можно купить")))</x:f>
        <x:v>Открыто</x:v>
      </x:c>
      <x:c r="H34" s="1"/>
      <x:c r="I34" s="1"/>
      <x:c r="J34" s="1"/>
    </x:row>
    <x:row r="35">
      <x:c r="A35" s="1" t="str">
        <x:v>core.piercer</x:v>
      </x:c>
      <x:c r="B35" s="1" t="str">
        <x:v>Пробивающая пушка</x:v>
      </x:c>
      <x:c r="C35" s="1" t="str">
        <x:v>Механизм</x:v>
      </x:c>
      <x:c r="D35" s="1" t="n">
        <x:f>'Механизмы'!C7</x:f>
        <x:v>1</x:v>
      </x:c>
      <x:c r="E35" s="1" t="n">
        <x:f>'Механизмы'!D7</x:f>
        <x:v>0</x:v>
      </x:c>
      <x:c r="F35" s="19" t="n">
        <x:v>1</x:v>
      </x:c>
      <x:c r="G35" s="1" t="str">
        <x:f>IF(F35=1,"Открыто",IF($B$4&lt;D35,"Нужен уровень",IF($D$4&lt;E35,"Не хватает золота","Можно купить")))</x:f>
        <x:v>Открыто</x:v>
      </x:c>
      <x:c r="H35" s="1"/>
      <x:c r="I35" s="1"/>
      <x:c r="J35" s="1"/>
    </x:row>
    <x:row r="36">
      <x:c r="A36" s="1" t="str">
        <x:v>core.mortar</x:v>
      </x:c>
      <x:c r="B36" s="1" t="str">
        <x:v>Мортира</x:v>
      </x:c>
      <x:c r="C36" s="1" t="str">
        <x:v>Механизм</x:v>
      </x:c>
      <x:c r="D36" s="1" t="n">
        <x:f>'Механизмы'!C8</x:f>
        <x:v>1</x:v>
      </x:c>
      <x:c r="E36" s="1" t="n">
        <x:f>'Механизмы'!D8</x:f>
        <x:v>0</x:v>
      </x:c>
      <x:c r="F36" s="19" t="n">
        <x:v>1</x:v>
      </x:c>
      <x:c r="G36" s="1" t="str">
        <x:f>IF(F36=1,"Открыто",IF($B$4&lt;D36,"Нужен уровень",IF($D$4&lt;E36,"Не хватает золота","Можно купить")))</x:f>
        <x:v>Открыто</x:v>
      </x:c>
      <x:c r="H36" s="1"/>
      <x:c r="I36" s="1"/>
      <x:c r="J36" s="1"/>
    </x:row>
    <x:row r="37">
      <x:c r="A37" s="1" t="str">
        <x:v>core.fan</x:v>
      </x:c>
      <x:c r="B37" s="1" t="str">
        <x:v>Веерный ствол</x:v>
      </x:c>
      <x:c r="C37" s="1" t="str">
        <x:v>Механизм</x:v>
      </x:c>
      <x:c r="D37" s="1" t="n">
        <x:f>'Механизмы'!C9</x:f>
        <x:v>4</x:v>
      </x:c>
      <x:c r="E37" s="1" t="n">
        <x:f>'Механизмы'!D9</x:f>
        <x:v>80</x:v>
      </x:c>
      <x:c r="F37" s="19" t="n">
        <x:v>0</x:v>
      </x:c>
      <x:c r="G37" s="1" t="str">
        <x:f>IF(F37=1,"Открыто",IF($B$4&lt;D37,"Нужен уровень",IF($D$4&lt;E37,"Не хватает золота","Можно купить")))</x:f>
        <x:v>Нужен уровень</x:v>
      </x:c>
      <x:c r="H37" s="1"/>
      <x:c r="I37" s="1"/>
      <x:c r="J37" s="1"/>
    </x:row>
    <x:row r="38">
      <x:c r="A38" s="1" t="str">
        <x:v>core.ricochet</x:v>
      </x:c>
      <x:c r="B38" s="1" t="str">
        <x:v>Рикошет</x:v>
      </x:c>
      <x:c r="C38" s="1" t="str">
        <x:v>Механизм</x:v>
      </x:c>
      <x:c r="D38" s="1" t="n">
        <x:f>'Механизмы'!C10</x:f>
        <x:v>6</x:v>
      </x:c>
      <x:c r="E38" s="1" t="n">
        <x:f>'Механизмы'!D10</x:f>
        <x:v>120</x:v>
      </x:c>
      <x:c r="F38" s="19" t="n">
        <x:v>0</x:v>
      </x:c>
      <x:c r="G38" s="1" t="str">
        <x:f>IF(F38=1,"Открыто",IF($B$4&lt;D38,"Нужен уровень",IF($D$4&lt;E38,"Не хватает золота","Можно купить")))</x:f>
        <x:v>Нужен уровень</x:v>
      </x:c>
      <x:c r="H38" s="1"/>
      <x:c r="I38" s="1"/>
      <x:c r="J38" s="1"/>
    </x:row>
    <x:row r="39">
      <x:c r="A39" s="1" t="str">
        <x:v>core.stapler</x:v>
      </x:c>
      <x:c r="B39" s="1" t="str">
        <x:v>Степлер</x:v>
      </x:c>
      <x:c r="C39" s="1" t="str">
        <x:v>Механизм</x:v>
      </x:c>
      <x:c r="D39" s="1" t="n">
        <x:f>'Механизмы'!C11</x:f>
        <x:v>2</x:v>
      </x:c>
      <x:c r="E39" s="1" t="n">
        <x:f>'Механизмы'!D11</x:f>
        <x:v>40</x:v>
      </x:c>
      <x:c r="F39" s="19" t="n">
        <x:v>0</x:v>
      </x:c>
      <x:c r="G39" s="1" t="str">
        <x:f>IF(F39=1,"Открыто",IF($B$4&lt;D39,"Нужен уровень",IF($D$4&lt;E39,"Не хватает золота","Можно купить")))</x:f>
        <x:v>Нужен уровень</x:v>
      </x:c>
      <x:c r="H39" s="1"/>
      <x:c r="I39" s="1"/>
      <x:c r="J39" s="1"/>
    </x:row>
    <x:row r="40">
      <x:c r="A40" s="1" t="str">
        <x:v>core.blotter</x:v>
      </x:c>
      <x:c r="B40" s="1" t="str">
        <x:v>Промокашка</x:v>
      </x:c>
      <x:c r="C40" s="1" t="str">
        <x:v>Механизм</x:v>
      </x:c>
      <x:c r="D40" s="1" t="n">
        <x:f>'Механизмы'!C12</x:f>
        <x:v>3</x:v>
      </x:c>
      <x:c r="E40" s="1" t="n">
        <x:f>'Механизмы'!D12</x:f>
        <x:v>50</x:v>
      </x:c>
      <x:c r="F40" s="19" t="n">
        <x:v>0</x:v>
      </x:c>
      <x:c r="G40" s="1" t="str">
        <x:f>IF(F40=1,"Открыто",IF($B$4&lt;D40,"Нужен уровень",IF($D$4&lt;E40,"Не хватает золота","Можно купить")))</x:f>
        <x:v>Нужен уровень</x:v>
      </x:c>
      <x:c r="H40" s="1"/>
      <x:c r="I40" s="1"/>
      <x:c r="J40" s="1"/>
    </x:row>
    <x:row r="41">
      <x:c r="A41" s="1" t="str">
        <x:v>head.gun</x:v>
      </x:c>
      <x:c r="B41" s="1" t="str">
        <x:v>Штатный ствол: Пулемёт</x:v>
      </x:c>
      <x:c r="C41" s="1" t="str">
        <x:v>Ствол / головка</x:v>
      </x:c>
      <x:c r="D41" s="1" t="n">
        <x:f>'Детали оружия'!E6</x:f>
        <x:v>1</x:v>
      </x:c>
      <x:c r="E41" s="1" t="n">
        <x:f>'Детали оружия'!F6</x:f>
        <x:v>0</x:v>
      </x:c>
      <x:c r="F41" s="19" t="n">
        <x:v>1</x:v>
      </x:c>
      <x:c r="G41" s="1" t="str">
        <x:f>IF(F41=1,"Открыто",IF($B$4&lt;D41,"Нужен уровень",IF($D$4&lt;E41,"Не хватает золота","Можно купить")))</x:f>
        <x:v>Открыто</x:v>
      </x:c>
      <x:c r="H41" s="1"/>
      <x:c r="I41" s="1"/>
      <x:c r="J41" s="1"/>
    </x:row>
    <x:row r="42">
      <x:c r="A42" s="1" t="str">
        <x:v>head.piercer</x:v>
      </x:c>
      <x:c r="B42" s="1" t="str">
        <x:v>Штатный ствол: Пробивающая пушка</x:v>
      </x:c>
      <x:c r="C42" s="1" t="str">
        <x:v>Ствол / головка</x:v>
      </x:c>
      <x:c r="D42" s="1" t="n">
        <x:f>'Детали оружия'!E7</x:f>
        <x:v>1</x:v>
      </x:c>
      <x:c r="E42" s="1" t="n">
        <x:f>'Детали оружия'!F7</x:f>
        <x:v>0</x:v>
      </x:c>
      <x:c r="F42" s="19" t="n">
        <x:v>1</x:v>
      </x:c>
      <x:c r="G42" s="1" t="str">
        <x:f>IF(F42=1,"Открыто",IF($B$4&lt;D42,"Нужен уровень",IF($D$4&lt;E42,"Не хватает золота","Можно купить")))</x:f>
        <x:v>Открыто</x:v>
      </x:c>
      <x:c r="H42" s="1"/>
      <x:c r="I42" s="1"/>
      <x:c r="J42" s="1"/>
    </x:row>
    <x:row r="43">
      <x:c r="A43" s="1" t="str">
        <x:v>head.mortar</x:v>
      </x:c>
      <x:c r="B43" s="1" t="str">
        <x:v>Штатный ствол: Мортира</x:v>
      </x:c>
      <x:c r="C43" s="1" t="str">
        <x:v>Ствол / головка</x:v>
      </x:c>
      <x:c r="D43" s="1" t="n">
        <x:f>'Детали оружия'!E8</x:f>
        <x:v>1</x:v>
      </x:c>
      <x:c r="E43" s="1" t="n">
        <x:f>'Детали оружия'!F8</x:f>
        <x:v>0</x:v>
      </x:c>
      <x:c r="F43" s="19" t="n">
        <x:v>1</x:v>
      </x:c>
      <x:c r="G43" s="1" t="str">
        <x:f>IF(F43=1,"Открыто",IF($B$4&lt;D43,"Нужен уровень",IF($D$4&lt;E43,"Не хватает золота","Можно купить")))</x:f>
        <x:v>Открыто</x:v>
      </x:c>
      <x:c r="H43" s="1"/>
      <x:c r="I43" s="1"/>
      <x:c r="J43" s="1"/>
    </x:row>
    <x:row r="44">
      <x:c r="A44" s="1" t="str">
        <x:v>head.fan</x:v>
      </x:c>
      <x:c r="B44" s="1" t="str">
        <x:v>Штатный ствол: Веерный ствол</x:v>
      </x:c>
      <x:c r="C44" s="1" t="str">
        <x:v>Ствол / головка</x:v>
      </x:c>
      <x:c r="D44" s="1" t="n">
        <x:f>'Детали оружия'!E9</x:f>
        <x:v>1</x:v>
      </x:c>
      <x:c r="E44" s="1" t="n">
        <x:f>'Детали оружия'!F9</x:f>
        <x:v>0</x:v>
      </x:c>
      <x:c r="F44" s="19" t="n">
        <x:v>1</x:v>
      </x:c>
      <x:c r="G44" s="1" t="str">
        <x:f>IF(F44=1,"Открыто",IF($B$4&lt;D44,"Нужен уровень",IF($D$4&lt;E44,"Не хватает золота","Можно купить")))</x:f>
        <x:v>Открыто</x:v>
      </x:c>
      <x:c r="H44" s="1"/>
      <x:c r="I44" s="1"/>
      <x:c r="J44" s="1"/>
    </x:row>
    <x:row r="45">
      <x:c r="A45" s="1" t="str">
        <x:v>head.ricochet</x:v>
      </x:c>
      <x:c r="B45" s="1" t="str">
        <x:v>Штатная головка: Рикошет</x:v>
      </x:c>
      <x:c r="C45" s="1" t="str">
        <x:v>Ствол / головка</x:v>
      </x:c>
      <x:c r="D45" s="1" t="n">
        <x:f>'Детали оружия'!E10</x:f>
        <x:v>1</x:v>
      </x:c>
      <x:c r="E45" s="1" t="n">
        <x:f>'Детали оружия'!F10</x:f>
        <x:v>0</x:v>
      </x:c>
      <x:c r="F45" s="19" t="n">
        <x:v>1</x:v>
      </x:c>
      <x:c r="G45" s="1" t="str">
        <x:f>IF(F45=1,"Открыто",IF($B$4&lt;D45,"Нужен уровень",IF($D$4&lt;E45,"Не хватает золота","Можно купить")))</x:f>
        <x:v>Открыто</x:v>
      </x:c>
      <x:c r="H45" s="1"/>
      <x:c r="I45" s="1"/>
      <x:c r="J45" s="1"/>
    </x:row>
    <x:row r="46">
      <x:c r="A46" s="1" t="str">
        <x:v>head.stapler</x:v>
      </x:c>
      <x:c r="B46" s="1" t="str">
        <x:v>Штатная головка: Степлер</x:v>
      </x:c>
      <x:c r="C46" s="1" t="str">
        <x:v>Ствол / головка</x:v>
      </x:c>
      <x:c r="D46" s="1" t="n">
        <x:f>'Детали оружия'!E11</x:f>
        <x:v>1</x:v>
      </x:c>
      <x:c r="E46" s="1" t="n">
        <x:f>'Детали оружия'!F11</x:f>
        <x:v>0</x:v>
      </x:c>
      <x:c r="F46" s="19" t="n">
        <x:v>1</x:v>
      </x:c>
      <x:c r="G46" s="1" t="str">
        <x:f>IF(F46=1,"Открыто",IF($B$4&lt;D46,"Нужен уровень",IF($D$4&lt;E46,"Не хватает золота","Можно купить")))</x:f>
        <x:v>Открыто</x:v>
      </x:c>
      <x:c r="H46" s="1"/>
      <x:c r="I46" s="1"/>
      <x:c r="J46" s="1"/>
    </x:row>
    <x:row r="47">
      <x:c r="A47" s="1" t="str">
        <x:v>head.blotter</x:v>
      </x:c>
      <x:c r="B47" s="1" t="str">
        <x:v>Штатная головка: Промокашка</x:v>
      </x:c>
      <x:c r="C47" s="1" t="str">
        <x:v>Ствол / головка</x:v>
      </x:c>
      <x:c r="D47" s="1" t="n">
        <x:f>'Детали оружия'!E12</x:f>
        <x:v>1</x:v>
      </x:c>
      <x:c r="E47" s="1" t="n">
        <x:f>'Детали оружия'!F12</x:f>
        <x:v>0</x:v>
      </x:c>
      <x:c r="F47" s="19" t="n">
        <x:v>1</x:v>
      </x:c>
      <x:c r="G47" s="1" t="str">
        <x:f>IF(F47=1,"Открыто",IF($B$4&lt;D47,"Нужен уровень",IF($D$4&lt;E47,"Не хватает золота","Можно купить")))</x:f>
        <x:v>Открыто</x:v>
      </x:c>
      <x:c r="H47" s="1"/>
      <x:c r="I47" s="1"/>
      <x:c r="J47" s="1"/>
    </x:row>
    <x:row r="48">
      <x:c r="A48" s="1" t="str">
        <x:v>head.short</x:v>
      </x:c>
      <x:c r="B48" s="1" t="str">
        <x:v>Короткий ствол</x:v>
      </x:c>
      <x:c r="C48" s="1" t="str">
        <x:v>Ствол / головка</x:v>
      </x:c>
      <x:c r="D48" s="1" t="n">
        <x:f>'Детали оружия'!E13</x:f>
        <x:v>2</x:v>
      </x:c>
      <x:c r="E48" s="1" t="n">
        <x:f>'Детали оружия'!F13</x:f>
        <x:v>40</x:v>
      </x:c>
      <x:c r="F48" s="19" t="n">
        <x:v>0</x:v>
      </x:c>
      <x:c r="G48" s="1" t="str">
        <x:f>IF(F48=1,"Открыто",IF($B$4&lt;D48,"Нужен уровень",IF($D$4&lt;E48,"Не хватает золота","Можно купить")))</x:f>
        <x:v>Нужен уровень</x:v>
      </x:c>
      <x:c r="H48" s="1"/>
      <x:c r="I48" s="1"/>
      <x:c r="J48" s="1"/>
    </x:row>
    <x:row r="49">
      <x:c r="A49" s="1" t="str">
        <x:v>head.long</x:v>
      </x:c>
      <x:c r="B49" s="1" t="str">
        <x:v>Длинный ствол</x:v>
      </x:c>
      <x:c r="C49" s="1" t="str">
        <x:v>Ствол / головка</x:v>
      </x:c>
      <x:c r="D49" s="1" t="n">
        <x:f>'Детали оружия'!E14</x:f>
        <x:v>4</x:v>
      </x:c>
      <x:c r="E49" s="1" t="n">
        <x:f>'Детали оружия'!F14</x:f>
        <x:v>80</x:v>
      </x:c>
      <x:c r="F49" s="19" t="n">
        <x:v>0</x:v>
      </x:c>
      <x:c r="G49" s="1" t="str">
        <x:f>IF(F49=1,"Открыто",IF($B$4&lt;D49,"Нужен уровень",IF($D$4&lt;E49,"Не хватает золота","Можно купить")))</x:f>
        <x:v>Нужен уровень</x:v>
      </x:c>
      <x:c r="H49" s="1"/>
      <x:c r="I49" s="1"/>
      <x:c r="J49" s="1"/>
    </x:row>
    <x:row r="50">
      <x:c r="A50" s="1" t="str">
        <x:v>head.wide</x:v>
      </x:c>
      <x:c r="B50" s="1" t="str">
        <x:v>Широкий ствол</x:v>
      </x:c>
      <x:c r="C50" s="1" t="str">
        <x:v>Ствол / головка</x:v>
      </x:c>
      <x:c r="D50" s="1" t="n">
        <x:f>'Детали оружия'!E15</x:f>
        <x:v>6</x:v>
      </x:c>
      <x:c r="E50" s="1" t="n">
        <x:f>'Детали оружия'!F15</x:f>
        <x:v>120</x:v>
      </x:c>
      <x:c r="F50" s="19" t="n">
        <x:v>0</x:v>
      </x:c>
      <x:c r="G50" s="1" t="str">
        <x:f>IF(F50=1,"Открыто",IF($B$4&lt;D50,"Нужен уровень",IF($D$4&lt;E50,"Не хватает золота","Можно купить")))</x:f>
        <x:v>Нужен уровень</x:v>
      </x:c>
      <x:c r="H50" s="1"/>
      <x:c r="I50" s="1"/>
      <x:c r="J50" s="1"/>
    </x:row>
    <x:row r="51">
      <x:c r="A51" s="1" t="str">
        <x:v>sight.iron</x:v>
      </x:c>
      <x:c r="B51" s="1" t="str">
        <x:v>Мушка / указатель</x:v>
      </x:c>
      <x:c r="C51" s="1" t="str">
        <x:v>Прицел</x:v>
      </x:c>
      <x:c r="D51" s="1" t="n">
        <x:f>'Детали оружия'!E16</x:f>
        <x:v>1</x:v>
      </x:c>
      <x:c r="E51" s="1" t="n">
        <x:f>'Детали оружия'!F16</x:f>
        <x:v>0</x:v>
      </x:c>
      <x:c r="F51" s="19" t="n">
        <x:v>1</x:v>
      </x:c>
      <x:c r="G51" s="1" t="str">
        <x:f>IF(F51=1,"Открыто",IF($B$4&lt;D51,"Нужен уровень",IF($D$4&lt;E51,"Не хватает золота","Можно купить")))</x:f>
        <x:v>Открыто</x:v>
      </x:c>
      <x:c r="H51" s="1"/>
      <x:c r="I51" s="1"/>
      <x:c r="J51" s="1"/>
    </x:row>
    <x:row r="52">
      <x:c r="A52" s="1" t="str">
        <x:v>sight.scope</x:v>
      </x:c>
      <x:c r="B52" s="1" t="str">
        <x:v>Оптика</x:v>
      </x:c>
      <x:c r="C52" s="1" t="str">
        <x:v>Прицел</x:v>
      </x:c>
      <x:c r="D52" s="1" t="n">
        <x:f>'Детали оружия'!E17</x:f>
        <x:v>3</x:v>
      </x:c>
      <x:c r="E52" s="1" t="n">
        <x:f>'Детали оружия'!F17</x:f>
        <x:v>60</x:v>
      </x:c>
      <x:c r="F52" s="19" t="n">
        <x:v>0</x:v>
      </x:c>
      <x:c r="G52" s="1" t="str">
        <x:f>IF(F52=1,"Открыто",IF($B$4&lt;D52,"Нужен уровень",IF($D$4&lt;E52,"Не хватает золота","Можно купить")))</x:f>
        <x:v>Нужен уровень</x:v>
      </x:c>
      <x:c r="H52" s="1"/>
      <x:c r="I52" s="1"/>
      <x:c r="J52" s="1"/>
    </x:row>
    <x:row r="53">
      <x:c r="A53" s="1" t="str">
        <x:v>sight.tracking</x:v>
      </x:c>
      <x:c r="B53" s="1" t="str">
        <x:v>Следящий прицел</x:v>
      </x:c>
      <x:c r="C53" s="1" t="str">
        <x:v>Прицел</x:v>
      </x:c>
      <x:c r="D53" s="1" t="n">
        <x:f>'Детали оружия'!E18</x:f>
        <x:v>5</x:v>
      </x:c>
      <x:c r="E53" s="1" t="n">
        <x:f>'Детали оружия'!F18</x:f>
        <x:v>90</x:v>
      </x:c>
      <x:c r="F53" s="19" t="n">
        <x:v>0</x:v>
      </x:c>
      <x:c r="G53" s="1" t="str">
        <x:f>IF(F53=1,"Открыто",IF($B$4&lt;D53,"Нужен уровень",IF($D$4&lt;E53,"Не хватает золота","Можно купить")))</x:f>
        <x:v>Нужен уровень</x:v>
      </x:c>
      <x:c r="H53" s="1"/>
      <x:c r="I53" s="1"/>
      <x:c r="J53" s="1"/>
    </x:row>
    <x:row r="54">
      <x:c r="A54" s="1" t="str">
        <x:v>magazine.standard</x:v>
      </x:c>
      <x:c r="B54" s="1" t="str">
        <x:v>Штатная обойма / кассета</x:v>
      </x:c>
      <x:c r="C54" s="1" t="str">
        <x:v>Магазин</x:v>
      </x:c>
      <x:c r="D54" s="1" t="n">
        <x:f>'Детали оружия'!E19</x:f>
        <x:v>1</x:v>
      </x:c>
      <x:c r="E54" s="1" t="n">
        <x:f>'Детали оружия'!F19</x:f>
        <x:v>0</x:v>
      </x:c>
      <x:c r="F54" s="19" t="n">
        <x:v>1</x:v>
      </x:c>
      <x:c r="G54" s="1" t="str">
        <x:f>IF(F54=1,"Открыто",IF($B$4&lt;D54,"Нужен уровень",IF($D$4&lt;E54,"Не хватает золота","Можно купить")))</x:f>
        <x:v>Открыто</x:v>
      </x:c>
      <x:c r="H54" s="1"/>
      <x:c r="I54" s="1"/>
      <x:c r="J54" s="1"/>
    </x:row>
    <x:row r="55">
      <x:c r="A55" s="1" t="str">
        <x:v>magazine.drum</x:v>
      </x:c>
      <x:c r="B55" s="1" t="str">
        <x:v>Барабан</x:v>
      </x:c>
      <x:c r="C55" s="1" t="str">
        <x:v>Магазин</x:v>
      </x:c>
      <x:c r="D55" s="1" t="n">
        <x:f>'Детали оружия'!E20</x:f>
        <x:v>4</x:v>
      </x:c>
      <x:c r="E55" s="1" t="n">
        <x:f>'Детали оружия'!F20</x:f>
        <x:v>80</x:v>
      </x:c>
      <x:c r="F55" s="19" t="n">
        <x:v>0</x:v>
      </x:c>
      <x:c r="G55" s="1" t="str">
        <x:f>IF(F55=1,"Открыто",IF($B$4&lt;D55,"Нужен уровень",IF($D$4&lt;E55,"Не хватает золота","Можно купить")))</x:f>
        <x:v>Нужен уровень</x:v>
      </x:c>
      <x:c r="H55" s="1"/>
      <x:c r="I55" s="1"/>
      <x:c r="J55" s="1"/>
    </x:row>
    <x:row r="56">
      <x:c r="A56" s="1" t="str">
        <x:v>magazine.belt</x:v>
      </x:c>
      <x:c r="B56" s="1" t="str">
        <x:v>Лента</x:v>
      </x:c>
      <x:c r="C56" s="1" t="str">
        <x:v>Магазин</x:v>
      </x:c>
      <x:c r="D56" s="1" t="n">
        <x:f>'Детали оружия'!E21</x:f>
        <x:v>7</x:v>
      </x:c>
      <x:c r="E56" s="1" t="n">
        <x:f>'Детали оружия'!F21</x:f>
        <x:v>150</x:v>
      </x:c>
      <x:c r="F56" s="19" t="n">
        <x:v>0</x:v>
      </x:c>
      <x:c r="G56" s="1" t="str">
        <x:f>IF(F56=1,"Открыто",IF($B$4&lt;D56,"Нужен уровень",IF($D$4&lt;E56,"Не хватает золота","Можно купить")))</x:f>
        <x:v>Нужен уровень</x:v>
      </x:c>
      <x:c r="H56" s="1"/>
      <x:c r="I56" s="1"/>
      <x:c r="J56" s="1"/>
    </x:row>
    <x:row r="57">
      <x:c r="A57" s="1" t="str">
        <x:v>trigger.standard</x:v>
      </x:c>
      <x:c r="B57" s="1" t="str">
        <x:v>Обычный спуск</x:v>
      </x:c>
      <x:c r="C57" s="1" t="str">
        <x:v>Спуск</x:v>
      </x:c>
      <x:c r="D57" s="1" t="n">
        <x:f>'Детали оружия'!E22</x:f>
        <x:v>1</x:v>
      </x:c>
      <x:c r="E57" s="1" t="n">
        <x:f>'Детали оружия'!F22</x:f>
        <x:v>0</x:v>
      </x:c>
      <x:c r="F57" s="19" t="n">
        <x:v>1</x:v>
      </x:c>
      <x:c r="G57" s="1" t="str">
        <x:f>IF(F57=1,"Открыто",IF($B$4&lt;D57,"Нужен уровень",IF($D$4&lt;E57,"Не хватает золота","Можно купить")))</x:f>
        <x:v>Открыто</x:v>
      </x:c>
      <x:c r="H57" s="1"/>
      <x:c r="I57" s="1"/>
      <x:c r="J57" s="1"/>
    </x:row>
    <x:row r="58">
      <x:c r="A58" s="1" t="str">
        <x:v>trigger.burst</x:v>
      </x:c>
      <x:c r="B58" s="1" t="str">
        <x:v>Спуск: очередь 3</x:v>
      </x:c>
      <x:c r="C58" s="1" t="str">
        <x:v>Спуск</x:v>
      </x:c>
      <x:c r="D58" s="1" t="n">
        <x:f>'Детали оружия'!E23</x:f>
        <x:v>5</x:v>
      </x:c>
      <x:c r="E58" s="1" t="n">
        <x:f>'Детали оружия'!F23</x:f>
        <x:v>100</x:v>
      </x:c>
      <x:c r="F58" s="19" t="n">
        <x:v>0</x:v>
      </x:c>
      <x:c r="G58" s="1" t="str">
        <x:f>IF(F58=1,"Открыто",IF($B$4&lt;D58,"Нужен уровень",IF($D$4&lt;E58,"Не хватает золота","Можно купить")))</x:f>
        <x:v>Нужен уровень</x:v>
      </x:c>
      <x:c r="H58" s="1"/>
      <x:c r="I58" s="1"/>
      <x:c r="J58" s="1"/>
    </x:row>
    <x:row r="59">
      <x:c r="A59" s="1" t="str">
        <x:v>site.wall</x:v>
      </x:c>
      <x:c r="B59" s="1" t="str">
        <x:v>Опора баррикады</x:v>
      </x:c>
      <x:c r="C59" s="1" t="str">
        <x:v>Основание</x:v>
      </x:c>
      <x:c r="D59" s="1" t="n">
        <x:f>'Детали зданий'!E6</x:f>
        <x:v>1</x:v>
      </x:c>
      <x:c r="E59" s="1" t="n">
        <x:f>'Детали зданий'!F6</x:f>
        <x:v>0</x:v>
      </x:c>
      <x:c r="F59" s="19" t="n">
        <x:v>1</x:v>
      </x:c>
      <x:c r="G59" s="1" t="str">
        <x:f>IF(F59=1,"Открыто",IF($B$4&lt;D59,"Нужен уровень",IF($D$4&lt;E59,"Не хватает золота","Можно купить")))</x:f>
        <x:v>Открыто</x:v>
      </x:c>
      <x:c r="H59" s="1"/>
      <x:c r="I59" s="1"/>
      <x:c r="J59" s="1"/>
    </x:row>
    <x:row r="60">
      <x:c r="A60" s="1" t="str">
        <x:v>site.slow</x:v>
      </x:c>
      <x:c r="B60" s="1" t="str">
        <x:v>Поддон замедлителя</x:v>
      </x:c>
      <x:c r="C60" s="1" t="str">
        <x:v>Основание</x:v>
      </x:c>
      <x:c r="D60" s="1" t="n">
        <x:f>'Детали зданий'!E7</x:f>
        <x:v>1</x:v>
      </x:c>
      <x:c r="E60" s="1" t="n">
        <x:f>'Детали зданий'!F7</x:f>
        <x:v>0</x:v>
      </x:c>
      <x:c r="F60" s="19" t="n">
        <x:v>1</x:v>
      </x:c>
      <x:c r="G60" s="1" t="str">
        <x:f>IF(F60=1,"Открыто",IF($B$4&lt;D60,"Нужен уровень",IF($D$4&lt;E60,"Не хватает золота","Можно купить")))</x:f>
        <x:v>Открыто</x:v>
      </x:c>
      <x:c r="H60" s="1"/>
      <x:c r="I60" s="1"/>
      <x:c r="J60" s="1"/>
    </x:row>
    <x:row r="61">
      <x:c r="A61" s="1" t="str">
        <x:v>site.repair</x:v>
      </x:c>
      <x:c r="B61" s="1" t="str">
        <x:v>Фундамент мастерской</x:v>
      </x:c>
      <x:c r="C61" s="1" t="str">
        <x:v>Основание</x:v>
      </x:c>
      <x:c r="D61" s="1" t="n">
        <x:f>'Детали зданий'!E8</x:f>
        <x:v>1</x:v>
      </x:c>
      <x:c r="E61" s="1" t="n">
        <x:f>'Детали зданий'!F8</x:f>
        <x:v>0</x:v>
      </x:c>
      <x:c r="F61" s="19" t="n">
        <x:v>1</x:v>
      </x:c>
      <x:c r="G61" s="1" t="str">
        <x:f>IF(F61=1,"Открыто",IF($B$4&lt;D61,"Нужен уровень",IF($D$4&lt;E61,"Не хватает золота","Можно купить")))</x:f>
        <x:v>Открыто</x:v>
      </x:c>
      <x:c r="H61" s="1"/>
      <x:c r="I61" s="1"/>
      <x:c r="J61" s="1"/>
    </x:row>
    <x:row r="62">
      <x:c r="A62" s="1" t="str">
        <x:v>site.generator</x:v>
      </x:c>
      <x:c r="B62" s="1" t="str">
        <x:v>Фундамент насоса</x:v>
      </x:c>
      <x:c r="C62" s="1" t="str">
        <x:v>Основание</x:v>
      </x:c>
      <x:c r="D62" s="1" t="n">
        <x:f>'Детали зданий'!E9</x:f>
        <x:v>1</x:v>
      </x:c>
      <x:c r="E62" s="1" t="n">
        <x:f>'Детали зданий'!F9</x:f>
        <x:v>0</x:v>
      </x:c>
      <x:c r="F62" s="19" t="n">
        <x:v>1</x:v>
      </x:c>
      <x:c r="G62" s="1" t="str">
        <x:f>IF(F62=1,"Открыто",IF($B$4&lt;D62,"Нужен уровень",IF($D$4&lt;E62,"Не хватает золота","Можно купить")))</x:f>
        <x:v>Открыто</x:v>
      </x:c>
      <x:c r="H62" s="1"/>
      <x:c r="I62" s="1"/>
      <x:c r="J62" s="1"/>
    </x:row>
    <x:row r="63">
      <x:c r="A63" s="1" t="str">
        <x:v>function.wall</x:v>
      </x:c>
      <x:c r="B63" s="1" t="str">
        <x:v>Секция заграждения</x:v>
      </x:c>
      <x:c r="C63" s="1" t="str">
        <x:v>Функция</x:v>
      </x:c>
      <x:c r="D63" s="1" t="n">
        <x:f>'Детали зданий'!E10</x:f>
        <x:v>1</x:v>
      </x:c>
      <x:c r="E63" s="1" t="n">
        <x:f>'Детали зданий'!F10</x:f>
        <x:v>0</x:v>
      </x:c>
      <x:c r="F63" s="19" t="n">
        <x:v>1</x:v>
      </x:c>
      <x:c r="G63" s="1" t="str">
        <x:f>IF(F63=1,"Открыто",IF($B$4&lt;D63,"Нужен уровень",IF($D$4&lt;E63,"Не хватает золота","Можно купить")))</x:f>
        <x:v>Открыто</x:v>
      </x:c>
      <x:c r="H63" s="1"/>
      <x:c r="I63" s="1"/>
      <x:c r="J63" s="1"/>
    </x:row>
    <x:row r="64">
      <x:c r="A64" s="1" t="str">
        <x:v>function.slow</x:v>
      </x:c>
      <x:c r="B64" s="1" t="str">
        <x:v>Чернильный состав</x:v>
      </x:c>
      <x:c r="C64" s="1" t="str">
        <x:v>Функция</x:v>
      </x:c>
      <x:c r="D64" s="1" t="n">
        <x:f>'Детали зданий'!E11</x:f>
        <x:v>1</x:v>
      </x:c>
      <x:c r="E64" s="1" t="n">
        <x:f>'Детали зданий'!F11</x:f>
        <x:v>0</x:v>
      </x:c>
      <x:c r="F64" s="19" t="n">
        <x:v>1</x:v>
      </x:c>
      <x:c r="G64" s="1" t="str">
        <x:f>IF(F64=1,"Открыто",IF($B$4&lt;D64,"Нужен уровень",IF($D$4&lt;E64,"Не хватает золота","Можно купить")))</x:f>
        <x:v>Открыто</x:v>
      </x:c>
      <x:c r="H64" s="1"/>
      <x:c r="I64" s="1"/>
      <x:c r="J64" s="1"/>
    </x:row>
    <x:row r="65">
      <x:c r="A65" s="1" t="str">
        <x:v>function.repair</x:v>
      </x:c>
      <x:c r="B65" s="1" t="str">
        <x:v>Ремонтный набор</x:v>
      </x:c>
      <x:c r="C65" s="1" t="str">
        <x:v>Функция</x:v>
      </x:c>
      <x:c r="D65" s="1" t="n">
        <x:f>'Детали зданий'!E12</x:f>
        <x:v>1</x:v>
      </x:c>
      <x:c r="E65" s="1" t="n">
        <x:f>'Детали зданий'!F12</x:f>
        <x:v>0</x:v>
      </x:c>
      <x:c r="F65" s="19" t="n">
        <x:v>1</x:v>
      </x:c>
      <x:c r="G65" s="1" t="str">
        <x:f>IF(F65=1,"Открыто",IF($B$4&lt;D65,"Нужен уровень",IF($D$4&lt;E65,"Не хватает золота","Можно купить")))</x:f>
        <x:v>Открыто</x:v>
      </x:c>
      <x:c r="H65" s="1"/>
      <x:c r="I65" s="1"/>
      <x:c r="J65" s="1"/>
    </x:row>
    <x:row r="66">
      <x:c r="A66" s="1" t="str">
        <x:v>function.generator</x:v>
      </x:c>
      <x:c r="B66" s="1" t="str">
        <x:v>Насос штрихов</x:v>
      </x:c>
      <x:c r="C66" s="1" t="str">
        <x:v>Функция</x:v>
      </x:c>
      <x:c r="D66" s="1" t="n">
        <x:f>'Детали зданий'!E13</x:f>
        <x:v>1</x:v>
      </x:c>
      <x:c r="E66" s="1" t="n">
        <x:f>'Детали зданий'!F13</x:f>
        <x:v>0</x:v>
      </x:c>
      <x:c r="F66" s="19" t="n">
        <x:v>1</x:v>
      </x:c>
      <x:c r="G66" s="1" t="str">
        <x:f>IF(F66=1,"Открыто",IF($B$4&lt;D66,"Нужен уровень",IF($D$4&lt;E66,"Не хватает золота","Можно купить")))</x:f>
        <x:v>Открыто</x:v>
      </x:c>
      <x:c r="H66" s="1"/>
      <x:c r="I66" s="1"/>
      <x:c r="J66" s="1"/>
    </x:row>
    <x:row r="67">
      <x:c r="A67" s="1" t="str">
        <x:v>shell.standard</x:v>
      </x:c>
      <x:c r="B67" s="1" t="str">
        <x:v>Обычная оболочка</x:v>
      </x:c>
      <x:c r="C67" s="1" t="str">
        <x:v>Оболочка</x:v>
      </x:c>
      <x:c r="D67" s="1" t="n">
        <x:f>'Детали зданий'!E14</x:f>
        <x:v>1</x:v>
      </x:c>
      <x:c r="E67" s="1" t="n">
        <x:f>'Детали зданий'!F14</x:f>
        <x:v>0</x:v>
      </x:c>
      <x:c r="F67" s="19" t="n">
        <x:v>1</x:v>
      </x:c>
      <x:c r="G67" s="1" t="str">
        <x:f>IF(F67=1,"Открыто",IF($B$4&lt;D67,"Нужен уровень",IF($D$4&lt;E67,"Не хватает золота","Можно купить")))</x:f>
        <x:v>Открыто</x:v>
      </x:c>
      <x:c r="H67" s="1"/>
      <x:c r="I67" s="1"/>
      <x:c r="J67" s="1"/>
    </x:row>
    <x:row r="68">
      <x:c r="A68" s="1" t="str">
        <x:v>shell.light</x:v>
      </x:c>
      <x:c r="B68" s="1" t="str">
        <x:v>Лёгкая оболочка</x:v>
      </x:c>
      <x:c r="C68" s="1" t="str">
        <x:v>Оболочка</x:v>
      </x:c>
      <x:c r="D68" s="1" t="n">
        <x:f>'Детали зданий'!E15</x:f>
        <x:v>2</x:v>
      </x:c>
      <x:c r="E68" s="1" t="n">
        <x:f>'Детали зданий'!F15</x:f>
        <x:v>35</x:v>
      </x:c>
      <x:c r="F68" s="19" t="n">
        <x:v>0</x:v>
      </x:c>
      <x:c r="G68" s="1" t="str">
        <x:f>IF(F68=1,"Открыто",IF($B$4&lt;D68,"Нужен уровень",IF($D$4&lt;E68,"Не хватает золота","Можно купить")))</x:f>
        <x:v>Нужен уровень</x:v>
      </x:c>
      <x:c r="H68" s="1"/>
      <x:c r="I68" s="1"/>
      <x:c r="J68" s="1"/>
    </x:row>
    <x:row r="69">
      <x:c r="A69" s="1" t="str">
        <x:v>shell.reinforced</x:v>
      </x:c>
      <x:c r="B69" s="1" t="str">
        <x:v>Усиленная оболочка</x:v>
      </x:c>
      <x:c r="C69" s="1" t="str">
        <x:v>Оболочка</x:v>
      </x:c>
      <x:c r="D69" s="1" t="n">
        <x:f>'Детали зданий'!E16</x:f>
        <x:v>4</x:v>
      </x:c>
      <x:c r="E69" s="1" t="n">
        <x:f>'Детали зданий'!F16</x:f>
        <x:v>70</x:v>
      </x:c>
      <x:c r="F69" s="19" t="n">
        <x:v>0</x:v>
      </x:c>
      <x:c r="G69" s="1" t="str">
        <x:f>IF(F69=1,"Открыто",IF($B$4&lt;D69,"Нужен уровень",IF($D$4&lt;E69,"Не хватает золота","Можно купить")))</x:f>
        <x:v>Нужен уровень</x:v>
      </x:c>
      <x:c r="H69" s="1"/>
      <x:c r="I69" s="1"/>
      <x:c r="J69" s="1"/>
    </x:row>
    <x:row r="70">
      <x:c r="A70" s="1" t="str">
        <x:v>utility.none</x:v>
      </x:c>
      <x:c r="B70" s="1" t="str">
        <x:v>Без оснащения</x:v>
      </x:c>
      <x:c r="C70" s="1" t="str">
        <x:v>Оснащение</x:v>
      </x:c>
      <x:c r="D70" s="1" t="n">
        <x:f>'Детали зданий'!E17</x:f>
        <x:v>1</x:v>
      </x:c>
      <x:c r="E70" s="1" t="n">
        <x:f>'Детали зданий'!F17</x:f>
        <x:v>0</x:v>
      </x:c>
      <x:c r="F70" s="19" t="n">
        <x:v>1</x:v>
      </x:c>
      <x:c r="G70" s="1" t="str">
        <x:f>IF(F70=1,"Открыто",IF($B$4&lt;D70,"Нужен уровень",IF($D$4&lt;E70,"Не хватает золота","Можно купить")))</x:f>
        <x:v>Открыто</x:v>
      </x:c>
      <x:c r="H70" s="1"/>
      <x:c r="I70" s="1"/>
      <x:c r="J70" s="1"/>
    </x:row>
    <x:row r="71">
      <x:c r="A71" s="1" t="str">
        <x:v>utility.armor</x:v>
      </x:c>
      <x:c r="B71" s="1" t="str">
        <x:v>Защитные панели</x:v>
      </x:c>
      <x:c r="C71" s="1" t="str">
        <x:v>Оснащение</x:v>
      </x:c>
      <x:c r="D71" s="1" t="n">
        <x:f>'Детали зданий'!E18</x:f>
        <x:v>3</x:v>
      </x:c>
      <x:c r="E71" s="1" t="n">
        <x:f>'Детали зданий'!F18</x:f>
        <x:v>60</x:v>
      </x:c>
      <x:c r="F71" s="19" t="n">
        <x:v>0</x:v>
      </x:c>
      <x:c r="G71" s="1" t="str">
        <x:f>IF(F71=1,"Открыто",IF($B$4&lt;D71,"Нужен уровень",IF($D$4&lt;E71,"Не хватает золота","Можно купить")))</x:f>
        <x:v>Нужен уровень</x:v>
      </x:c>
      <x:c r="H71" s="1"/>
      <x:c r="I71" s="1"/>
      <x:c r="J71" s="1"/>
    </x:row>
    <x:row r="72">
      <x:c r="A72" s="1" t="str">
        <x:v>utility.range</x:v>
      </x:c>
      <x:c r="B72" s="1" t="str">
        <x:v>Расширитель зоны</x:v>
      </x:c>
      <x:c r="C72" s="1" t="str">
        <x:v>Оснащение</x:v>
      </x:c>
      <x:c r="D72" s="1" t="n">
        <x:f>'Детали зданий'!E19</x:f>
        <x:v>5</x:v>
      </x:c>
      <x:c r="E72" s="1" t="n">
        <x:f>'Детали зданий'!F19</x:f>
        <x:v>90</x:v>
      </x:c>
      <x:c r="F72" s="19" t="n">
        <x:v>0</x:v>
      </x:c>
      <x:c r="G72" s="1" t="str">
        <x:f>IF(F72=1,"Открыто",IF($B$4&lt;D72,"Нужен уровень",IF($D$4&lt;E72,"Не хватает золота","Можно купить")))</x:f>
        <x:v>Нужен уровень</x:v>
      </x:c>
      <x:c r="H72" s="1"/>
      <x:c r="I72" s="1"/>
      <x:c r="J72" s="1"/>
    </x:row>
    <x:row r="73">
      <x:c r="A73" s="1" t="str">
        <x:v>utility.economy</x:v>
      </x:c>
      <x:c r="B73" s="1" t="str">
        <x:v>Экономичный насос</x:v>
      </x:c>
      <x:c r="C73" s="1" t="str">
        <x:v>Оснащение</x:v>
      </x:c>
      <x:c r="D73" s="1" t="n">
        <x:f>'Детали зданий'!E20</x:f>
        <x:v>8</x:v>
      </x:c>
      <x:c r="E73" s="1" t="n">
        <x:f>'Детали зданий'!F20</x:f>
        <x:v>180</x:v>
      </x:c>
      <x:c r="F73" s="19" t="n">
        <x:v>0</x:v>
      </x:c>
      <x:c r="G73" s="1" t="str">
        <x:f>IF(F73=1,"Открыто",IF($B$4&lt;D73,"Нужен уровень",IF($D$4&lt;E73,"Не хватает золота","Можно купить")))</x:f>
        <x:v>Нужен уровень</x:v>
      </x:c>
      <x:c r="H73" s="1"/>
      <x:c r="I73" s="1"/>
      <x:c r="J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</x:row>
  </x:sheetData>
  <x:dataValidations count="3">
    <x:dataValidation type="whole" operator="between" sqref="B4">
      <x:formula1>1</x:formula1>
      <x:formula2>8</x:formula2>
    </x:dataValidation>
    <x:dataValidation type="whole" operator="between" sqref="D4">
      <x:formula1>0</x:formula1>
      <x:formula2>1000000</x:formula2>
    </x:dataValidation>
    <x:dataValidation type="whole" operator="between" sqref="F20:F73">
      <x:formula1>0</x:formula1>
      <x:formula2>1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6" hidden="0" customWidth="1"/>
    <x:col min="2" max="2" width="35" hidden="0" customWidth="1"/>
    <x:col min="3" max="3" width="26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>
      <x:c r="A2" s="2" t="str">
        <x:v>Детали основы башни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</x:row>
    <x:row r="3">
      <x:c r="A3" s="3" t="str">
        <x:v>Жёлтые ячейки — проектные входные значения. Пустое поле неприменимо; нейтральный множитель равен 1.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</x:row>
    <x:row r="5" ht="46" customHeight="1">
      <x:c r="A5" s="8" t="str">
        <x:v>ID</x:v>
      </x:c>
      <x:c r="B5" s="8" t="str">
        <x:v>Деталь</x:v>
      </x:c>
      <x:c r="C5" s="8" t="str">
        <x:v>Категория</x:v>
      </x:c>
      <x:c r="D5" s="8" t="str">
        <x:v>Уровень</x:v>
      </x:c>
      <x:c r="E5" s="8" t="str">
        <x:v>Открытие, зол.</x:v>
      </x:c>
      <x:c r="F5" s="8" t="str">
        <x:v>Цена, штр.</x:v>
      </x:c>
      <x:c r="G5" s="8" t="str">
        <x:v>Нагрузка</x:v>
      </x:c>
      <x:c r="H5" s="8" t="str">
        <x:v>Базовые HP</x:v>
      </x:c>
      <x:c r="I5" s="8" t="str">
        <x:v>HP ×</x:v>
      </x:c>
      <x:c r="J5" s="8" t="str">
        <x:v>Вместимость</x:v>
      </x:c>
      <x:c r="K5" s="8" t="str">
        <x:v>Вместимость +</x:v>
      </x:c>
      <x:c r="L5" s="8" t="str">
        <x:v>Крепления</x:v>
      </x:c>
      <x:c r="M5" s="8" t="str">
        <x:v>Подача рамки</x:v>
      </x:c>
      <x:c r="N5" s="8" t="str">
        <x:v>Подача ×</x:v>
      </x:c>
      <x:c r="O5" s="8" t="str">
        <x:v>Защита</x:v>
      </x:c>
      <x:c r="P5" s="8" t="str">
        <x:v>Защита спереди</x:v>
      </x:c>
      <x:c r="Q5" s="8" t="str">
        <x:v>Захват ×</x:v>
      </x:c>
      <x:c r="R5" s="8" t="str">
        <x:v>Сборка, с +</x:v>
      </x:c>
    </x:row>
    <x:row r="6" ht="28" customHeight="1">
      <x:c r="A6" s="14" t="str">
        <x:v>frame.standard</x:v>
      </x:c>
      <x:c r="B6" s="14" t="str">
        <x:v>Обычная рамка</x:v>
      </x:c>
      <x:c r="C6" s="14" t="str">
        <x:v>Рамка</x:v>
      </x:c>
      <x:c r="D6" s="16" t="n">
        <x:v>1</x:v>
      </x:c>
      <x:c r="E6" s="16" t="n">
        <x:v>0</x:v>
      </x:c>
      <x:c r="F6" s="16" t="n">
        <x:v>16</x:v>
      </x:c>
      <x:c r="G6" s="16" t="n">
        <x:v>0</x:v>
      </x:c>
      <x:c r="H6" s="17" t="n">
        <x:v>55</x:v>
      </x:c>
      <x:c r="I6" s="17" t="n">
        <x:v>1</x:v>
      </x:c>
      <x:c r="J6" s="16" t="n">
        <x:v>10</x:v>
      </x:c>
      <x:c r="K6" s="16" t="n">
        <x:v>0</x:v>
      </x:c>
      <x:c r="L6" s="16" t="n">
        <x:v>2</x:v>
      </x:c>
      <x:c r="M6" s="17" t="n">
        <x:v>1.6</x:v>
      </x:c>
      <x:c r="N6" s="17" t="n">
        <x:v>1</x:v>
      </x:c>
      <x:c r="O6" s="17" t="n">
        <x:v>0</x:v>
      </x:c>
      <x:c r="P6" s="17" t="n">
        <x:v>0</x:v>
      </x:c>
      <x:c r="Q6" s="17" t="n">
        <x:v>1</x:v>
      </x:c>
      <x:c r="R6" s="17" t="n">
        <x:v>0</x:v>
      </x:c>
    </x:row>
    <x:row r="7" ht="28" customHeight="1">
      <x:c r="A7" s="15" t="str">
        <x:v>frame.heavy</x:v>
      </x:c>
      <x:c r="B7" s="15" t="str">
        <x:v>Тяжёлая рамка</x:v>
      </x:c>
      <x:c r="C7" s="15" t="str">
        <x:v>Рамка</x:v>
      </x:c>
      <x:c r="D7" s="16" t="n">
        <x:v>3</x:v>
      </x:c>
      <x:c r="E7" s="16" t="n">
        <x:v>90</x:v>
      </x:c>
      <x:c r="F7" s="16" t="n">
        <x:v>26</x:v>
      </x:c>
      <x:c r="G7" s="16" t="n">
        <x:v>0</x:v>
      </x:c>
      <x:c r="H7" s="17" t="n">
        <x:v>82.5</x:v>
      </x:c>
      <x:c r="I7" s="17" t="n">
        <x:v>1</x:v>
      </x:c>
      <x:c r="J7" s="16" t="n">
        <x:v>14</x:v>
      </x:c>
      <x:c r="K7" s="16" t="n">
        <x:v>0</x:v>
      </x:c>
      <x:c r="L7" s="16" t="n">
        <x:v>2</x:v>
      </x:c>
      <x:c r="M7" s="17" t="n">
        <x:v>1.6</x:v>
      </x:c>
      <x:c r="N7" s="17" t="n">
        <x:v>1</x:v>
      </x:c>
      <x:c r="O7" s="17" t="n">
        <x:v>0</x:v>
      </x:c>
      <x:c r="P7" s="17" t="n">
        <x:v>0</x:v>
      </x:c>
      <x:c r="Q7" s="17" t="n">
        <x:v>1</x:v>
      </x:c>
      <x:c r="R7" s="17" t="n">
        <x:v>0.45</x:v>
      </x:c>
    </x:row>
    <x:row r="8" ht="28" customHeight="1">
      <x:c r="A8" s="14" t="str">
        <x:v>frame.precision</x:v>
      </x:c>
      <x:c r="B8" s="14" t="str">
        <x:v>Точная рамка</x:v>
      </x:c>
      <x:c r="C8" s="14" t="str">
        <x:v>Рамка</x:v>
      </x:c>
      <x:c r="D8" s="16" t="n">
        <x:v>4</x:v>
      </x:c>
      <x:c r="E8" s="16" t="n">
        <x:v>90</x:v>
      </x:c>
      <x:c r="F8" s="16" t="n">
        <x:v>18</x:v>
      </x:c>
      <x:c r="G8" s="16" t="n">
        <x:v>0</x:v>
      </x:c>
      <x:c r="H8" s="17" t="n">
        <x:v>55</x:v>
      </x:c>
      <x:c r="I8" s="17" t="n">
        <x:v>1</x:v>
      </x:c>
      <x:c r="J8" s="16" t="n">
        <x:v>16</x:v>
      </x:c>
      <x:c r="K8" s="16" t="n">
        <x:v>0</x:v>
      </x:c>
      <x:c r="L8" s="16" t="n">
        <x:v>1</x:v>
      </x:c>
      <x:c r="M8" s="17" t="n">
        <x:v>1</x:v>
      </x:c>
      <x:c r="N8" s="17" t="n">
        <x:v>1</x:v>
      </x:c>
      <x:c r="O8" s="17" t="n">
        <x:v>0</x:v>
      </x:c>
      <x:c r="P8" s="17" t="n">
        <x:v>0</x:v>
      </x:c>
      <x:c r="Q8" s="17" t="n">
        <x:v>1</x:v>
      </x:c>
      <x:c r="R8" s="17" t="n">
        <x:v>0.25</x:v>
      </x:c>
    </x:row>
    <x:row r="9" ht="28" customHeight="1">
      <x:c r="A9" s="15" t="str">
        <x:v>frame.battery</x:v>
      </x:c>
      <x:c r="B9" s="15" t="str">
        <x:v>Батарейная рамка</x:v>
      </x:c>
      <x:c r="C9" s="15" t="str">
        <x:v>Рамка</x:v>
      </x:c>
      <x:c r="D9" s="16" t="n">
        <x:v>7</x:v>
      </x:c>
      <x:c r="E9" s="16" t="n">
        <x:v>160</x:v>
      </x:c>
      <x:c r="F9" s="16" t="n">
        <x:v>28</x:v>
      </x:c>
      <x:c r="G9" s="16" t="n">
        <x:v>0</x:v>
      </x:c>
      <x:c r="H9" s="17" t="n">
        <x:v>77</x:v>
      </x:c>
      <x:c r="I9" s="17" t="n">
        <x:v>1</x:v>
      </x:c>
      <x:c r="J9" s="16" t="n">
        <x:v>22</x:v>
      </x:c>
      <x:c r="K9" s="16" t="n">
        <x:v>0</x:v>
      </x:c>
      <x:c r="L9" s="16" t="n">
        <x:v>3</x:v>
      </x:c>
      <x:c r="M9" s="17" t="n">
        <x:v>2.4</x:v>
      </x:c>
      <x:c r="N9" s="17" t="n">
        <x:v>1</x:v>
      </x:c>
      <x:c r="O9" s="17" t="n">
        <x:v>0</x:v>
      </x:c>
      <x:c r="P9" s="17" t="n">
        <x:v>0</x:v>
      </x:c>
      <x:c r="Q9" s="17" t="n">
        <x:v>1</x:v>
      </x:c>
      <x:c r="R9" s="17" t="n">
        <x:v>0.65</x:v>
      </x:c>
    </x:row>
    <x:row r="10" ht="28" customHeight="1">
      <x:c r="A10" s="14" t="str">
        <x:v>hull.standard</x:v>
      </x:c>
      <x:c r="B10" s="14" t="str">
        <x:v>Обычный корпус</x:v>
      </x:c>
      <x:c r="C10" s="14" t="str">
        <x:v>Корпус</x:v>
      </x:c>
      <x:c r="D10" s="16" t="n">
        <x:v>1</x:v>
      </x:c>
      <x:c r="E10" s="16" t="n">
        <x:v>0</x:v>
      </x:c>
      <x:c r="F10" s="16" t="n">
        <x:v>0</x:v>
      </x:c>
      <x:c r="G10" s="16" t="n">
        <x:v>0</x:v>
      </x:c>
      <x:c r="H10" s="17" t="str"/>
      <x:c r="I10" s="17" t="n">
        <x:v>1</x:v>
      </x:c>
      <x:c r="J10" s="16" t="str"/>
      <x:c r="K10" s="16" t="n">
        <x:v>0</x:v>
      </x:c>
      <x:c r="L10" s="16" t="str"/>
      <x:c r="M10" s="17" t="str"/>
      <x:c r="N10" s="17" t="n">
        <x:v>1</x:v>
      </x:c>
      <x:c r="O10" s="17" t="n">
        <x:v>0</x:v>
      </x:c>
      <x:c r="P10" s="17" t="n">
        <x:v>0</x:v>
      </x:c>
      <x:c r="Q10" s="17" t="n">
        <x:v>1</x:v>
      </x:c>
      <x:c r="R10" s="17" t="n">
        <x:v>0</x:v>
      </x:c>
    </x:row>
    <x:row r="11" ht="28" customHeight="1">
      <x:c r="A11" s="15" t="str">
        <x:v>hull.light</x:v>
      </x:c>
      <x:c r="B11" s="15" t="str">
        <x:v>Облегчённый корпус</x:v>
      </x:c>
      <x:c r="C11" s="15" t="str">
        <x:v>Корпус</x:v>
      </x:c>
      <x:c r="D11" s="16" t="n">
        <x:v>2</x:v>
      </x:c>
      <x:c r="E11" s="16" t="n">
        <x:v>40</x:v>
      </x:c>
      <x:c r="F11" s="16" t="n">
        <x:v>-4</x:v>
      </x:c>
      <x:c r="G11" s="16" t="n">
        <x:v>0</x:v>
      </x:c>
      <x:c r="H11" s="17" t="str"/>
      <x:c r="I11" s="17" t="n">
        <x:v>0.8</x:v>
      </x:c>
      <x:c r="J11" s="16" t="str"/>
      <x:c r="K11" s="16" t="n">
        <x:v>-2</x:v>
      </x:c>
      <x:c r="L11" s="16" t="str"/>
      <x:c r="M11" s="17" t="str"/>
      <x:c r="N11" s="17" t="n">
        <x:v>1</x:v>
      </x:c>
      <x:c r="O11" s="17" t="n">
        <x:v>0</x:v>
      </x:c>
      <x:c r="P11" s="17" t="n">
        <x:v>0</x:v>
      </x:c>
      <x:c r="Q11" s="17" t="n">
        <x:v>1</x:v>
      </x:c>
      <x:c r="R11" s="17" t="n">
        <x:v>-0.2</x:v>
      </x:c>
    </x:row>
    <x:row r="12" ht="28" customHeight="1">
      <x:c r="A12" s="14" t="str">
        <x:v>hull.reinforced</x:v>
      </x:c>
      <x:c r="B12" s="14" t="str">
        <x:v>Усиленный корпус</x:v>
      </x:c>
      <x:c r="C12" s="14" t="str">
        <x:v>Корпус</x:v>
      </x:c>
      <x:c r="D12" s="16" t="n">
        <x:v>4</x:v>
      </x:c>
      <x:c r="E12" s="16" t="n">
        <x:v>80</x:v>
      </x:c>
      <x:c r="F12" s="16" t="n">
        <x:v>8</x:v>
      </x:c>
      <x:c r="G12" s="16" t="n">
        <x:v>1</x:v>
      </x:c>
      <x:c r="H12" s="17" t="str"/>
      <x:c r="I12" s="17" t="n">
        <x:v>1.3</x:v>
      </x:c>
      <x:c r="J12" s="16" t="str"/>
      <x:c r="K12" s="16" t="n">
        <x:v>0</x:v>
      </x:c>
      <x:c r="L12" s="16" t="str"/>
      <x:c r="M12" s="17" t="str"/>
      <x:c r="N12" s="17" t="n">
        <x:v>1</x:v>
      </x:c>
      <x:c r="O12" s="17" t="n">
        <x:v>0</x:v>
      </x:c>
      <x:c r="P12" s="17" t="n">
        <x:v>0</x:v>
      </x:c>
      <x:c r="Q12" s="17" t="n">
        <x:v>1</x:v>
      </x:c>
      <x:c r="R12" s="17" t="n">
        <x:v>0.3</x:v>
      </x:c>
    </x:row>
    <x:row r="13" ht="28" customHeight="1">
      <x:c r="A13" s="15" t="str">
        <x:v>armor.none</x:v>
      </x:c>
      <x:c r="B13" s="15" t="str">
        <x:v>Без брони</x:v>
      </x:c>
      <x:c r="C13" s="15" t="str">
        <x:v>Броня</x:v>
      </x:c>
      <x:c r="D13" s="16" t="n">
        <x:v>1</x:v>
      </x:c>
      <x:c r="E13" s="16" t="n">
        <x:v>0</x:v>
      </x:c>
      <x:c r="F13" s="16" t="n">
        <x:v>0</x:v>
      </x:c>
      <x:c r="G13" s="16" t="n">
        <x:v>0</x:v>
      </x:c>
      <x:c r="H13" s="17" t="str"/>
      <x:c r="I13" s="17" t="n">
        <x:v>1</x:v>
      </x:c>
      <x:c r="J13" s="16" t="str"/>
      <x:c r="K13" s="16" t="n">
        <x:v>0</x:v>
      </x:c>
      <x:c r="L13" s="16" t="str"/>
      <x:c r="M13" s="17" t="str"/>
      <x:c r="N13" s="17" t="n">
        <x:v>1</x:v>
      </x:c>
      <x:c r="O13" s="17" t="n">
        <x:v>0</x:v>
      </x:c>
      <x:c r="P13" s="17" t="n">
        <x:v>0</x:v>
      </x:c>
      <x:c r="Q13" s="17" t="n">
        <x:v>1</x:v>
      </x:c>
      <x:c r="R13" s="17" t="n">
        <x:v>0</x:v>
      </x:c>
    </x:row>
    <x:row r="14" ht="28" customHeight="1">
      <x:c r="A14" s="14" t="str">
        <x:v>armor.plate</x:v>
      </x:c>
      <x:c r="B14" s="14" t="str">
        <x:v>Бронепластины</x:v>
      </x:c>
      <x:c r="C14" s="14" t="str">
        <x:v>Броня</x:v>
      </x:c>
      <x:c r="D14" s="16" t="n">
        <x:v>1</x:v>
      </x:c>
      <x:c r="E14" s="16" t="n">
        <x:v>0</x:v>
      </x:c>
      <x:c r="F14" s="16" t="n">
        <x:v>14</x:v>
      </x:c>
      <x:c r="G14" s="16" t="n">
        <x:v>2</x:v>
      </x:c>
      <x:c r="H14" s="17" t="str"/>
      <x:c r="I14" s="17" t="n">
        <x:v>1</x:v>
      </x:c>
      <x:c r="J14" s="16" t="str"/>
      <x:c r="K14" s="16" t="n">
        <x:v>0</x:v>
      </x:c>
      <x:c r="L14" s="16" t="str"/>
      <x:c r="M14" s="17" t="str"/>
      <x:c r="N14" s="17" t="n">
        <x:v>1</x:v>
      </x:c>
      <x:c r="O14" s="17" t="n">
        <x:v>0.3</x:v>
      </x:c>
      <x:c r="P14" s="17" t="n">
        <x:v>0</x:v>
      </x:c>
      <x:c r="Q14" s="17" t="n">
        <x:v>1</x:v>
      </x:c>
      <x:c r="R14" s="17" t="n">
        <x:v>0.2</x:v>
      </x:c>
    </x:row>
    <x:row r="15" ht="28" customHeight="1">
      <x:c r="A15" s="15" t="str">
        <x:v>armor.front</x:v>
      </x:c>
      <x:c r="B15" s="15" t="str">
        <x:v>Фронтальный щит</x:v>
      </x:c>
      <x:c r="C15" s="15" t="str">
        <x:v>Броня</x:v>
      </x:c>
      <x:c r="D15" s="16" t="n">
        <x:v>5</x:v>
      </x:c>
      <x:c r="E15" s="16" t="n">
        <x:v>100</x:v>
      </x:c>
      <x:c r="F15" s="16" t="n">
        <x:v>12</x:v>
      </x:c>
      <x:c r="G15" s="16" t="n">
        <x:v>2</x:v>
      </x:c>
      <x:c r="H15" s="17" t="str"/>
      <x:c r="I15" s="17" t="n">
        <x:v>1</x:v>
      </x:c>
      <x:c r="J15" s="16" t="str"/>
      <x:c r="K15" s="16" t="n">
        <x:v>0</x:v>
      </x:c>
      <x:c r="L15" s="16" t="str"/>
      <x:c r="M15" s="17" t="str"/>
      <x:c r="N15" s="17" t="n">
        <x:v>1</x:v>
      </x:c>
      <x:c r="O15" s="17" t="n">
        <x:v>0</x:v>
      </x:c>
      <x:c r="P15" s="17" t="n">
        <x:v>0.4</x:v>
      </x:c>
      <x:c r="Q15" s="17" t="n">
        <x:v>1</x:v>
      </x:c>
      <x:c r="R15" s="17" t="n">
        <x:v>0.2</x:v>
      </x:c>
    </x:row>
    <x:row r="16" ht="28" customHeight="1">
      <x:c r="A16" s="14" t="str">
        <x:v>feed.standard</x:v>
      </x:c>
      <x:c r="B16" s="14" t="str">
        <x:v>Обычная подача</x:v>
      </x:c>
      <x:c r="C16" s="14" t="str">
        <x:v>Подача</x:v>
      </x:c>
      <x:c r="D16" s="16" t="n">
        <x:v>1</x:v>
      </x:c>
      <x:c r="E16" s="16" t="n">
        <x:v>0</x:v>
      </x:c>
      <x:c r="F16" s="16" t="n">
        <x:v>0</x:v>
      </x:c>
      <x:c r="G16" s="16" t="n">
        <x:v>0</x:v>
      </x:c>
      <x:c r="H16" s="17" t="str"/>
      <x:c r="I16" s="17" t="n">
        <x:v>1</x:v>
      </x:c>
      <x:c r="J16" s="16" t="str"/>
      <x:c r="K16" s="16" t="n">
        <x:v>0</x:v>
      </x:c>
      <x:c r="L16" s="16" t="str"/>
      <x:c r="M16" s="17" t="str"/>
      <x:c r="N16" s="17" t="n">
        <x:v>1</x:v>
      </x:c>
      <x:c r="O16" s="17" t="n">
        <x:v>0</x:v>
      </x:c>
      <x:c r="P16" s="17" t="n">
        <x:v>0</x:v>
      </x:c>
      <x:c r="Q16" s="17" t="n">
        <x:v>1</x:v>
      </x:c>
      <x:c r="R16" s="17" t="n">
        <x:v>0</x:v>
      </x:c>
    </x:row>
    <x:row r="17" ht="28" customHeight="1">
      <x:c r="A17" s="15" t="str">
        <x:v>feed.boost</x:v>
      </x:c>
      <x:c r="B17" s="15" t="str">
        <x:v>Улучшенная подача</x:v>
      </x:c>
      <x:c r="C17" s="15" t="str">
        <x:v>Подача</x:v>
      </x:c>
      <x:c r="D17" s="16" t="n">
        <x:v>3</x:v>
      </x:c>
      <x:c r="E17" s="16" t="n">
        <x:v>70</x:v>
      </x:c>
      <x:c r="F17" s="16" t="n">
        <x:v>10</x:v>
      </x:c>
      <x:c r="G17" s="16" t="n">
        <x:v>2</x:v>
      </x:c>
      <x:c r="H17" s="17" t="str"/>
      <x:c r="I17" s="17" t="n">
        <x:v>1</x:v>
      </x:c>
      <x:c r="J17" s="16" t="str"/>
      <x:c r="K17" s="16" t="n">
        <x:v>0</x:v>
      </x:c>
      <x:c r="L17" s="16" t="str"/>
      <x:c r="M17" s="17" t="str"/>
      <x:c r="N17" s="17" t="n">
        <x:v>1.25</x:v>
      </x:c>
      <x:c r="O17" s="17" t="n">
        <x:v>0</x:v>
      </x:c>
      <x:c r="P17" s="17" t="n">
        <x:v>0</x:v>
      </x:c>
      <x:c r="Q17" s="17" t="n">
        <x:v>1</x:v>
      </x:c>
      <x:c r="R17" s="17" t="n">
        <x:v>0.2</x:v>
      </x:c>
    </x:row>
    <x:row r="18" ht="28" customHeight="1">
      <x:c r="A18" s="14" t="str">
        <x:v>turn.standard</x:v>
      </x:c>
      <x:c r="B18" s="14" t="str">
        <x:v>Обычный поворот</x:v>
      </x:c>
      <x:c r="C18" s="14" t="str">
        <x:v>Поворот</x:v>
      </x:c>
      <x:c r="D18" s="16" t="n">
        <x:v>1</x:v>
      </x:c>
      <x:c r="E18" s="16" t="n">
        <x:v>0</x:v>
      </x:c>
      <x:c r="F18" s="16" t="n">
        <x:v>0</x:v>
      </x:c>
      <x:c r="G18" s="16" t="n">
        <x:v>0</x:v>
      </x:c>
      <x:c r="H18" s="17" t="str"/>
      <x:c r="I18" s="17" t="n">
        <x:v>1</x:v>
      </x:c>
      <x:c r="J18" s="16" t="str"/>
      <x:c r="K18" s="16" t="n">
        <x:v>0</x:v>
      </x:c>
      <x:c r="L18" s="16" t="str"/>
      <x:c r="M18" s="17" t="str"/>
      <x:c r="N18" s="17" t="n">
        <x:v>1</x:v>
      </x:c>
      <x:c r="O18" s="17" t="n">
        <x:v>0</x:v>
      </x:c>
      <x:c r="P18" s="17" t="n">
        <x:v>0</x:v>
      </x:c>
      <x:c r="Q18" s="17" t="n">
        <x:v>1</x:v>
      </x:c>
      <x:c r="R18" s="17" t="n">
        <x:v>0</x:v>
      </x:c>
    </x:row>
    <x:row r="19" ht="28" customHeight="1">
      <x:c r="A19" s="15" t="str">
        <x:v>turn.quick</x:v>
      </x:c>
      <x:c r="B19" s="15" t="str">
        <x:v>Быстрый поворот</x:v>
      </x:c>
      <x:c r="C19" s="15" t="str">
        <x:v>Поворот</x:v>
      </x:c>
      <x:c r="D19" s="16" t="n">
        <x:v>2</x:v>
      </x:c>
      <x:c r="E19" s="16" t="n">
        <x:v>40</x:v>
      </x:c>
      <x:c r="F19" s="16" t="n">
        <x:v>8</x:v>
      </x:c>
      <x:c r="G19" s="16" t="n">
        <x:v>1</x:v>
      </x:c>
      <x:c r="H19" s="17" t="str"/>
      <x:c r="I19" s="17" t="n">
        <x:v>1</x:v>
      </x:c>
      <x:c r="J19" s="16" t="str"/>
      <x:c r="K19" s="16" t="n">
        <x:v>0</x:v>
      </x:c>
      <x:c r="L19" s="16" t="str"/>
      <x:c r="M19" s="17" t="str"/>
      <x:c r="N19" s="17" t="n">
        <x:v>1</x:v>
      </x:c>
      <x:c r="O19" s="17" t="n">
        <x:v>0</x:v>
      </x:c>
      <x:c r="P19" s="17" t="n">
        <x:v>0</x:v>
      </x:c>
      <x:c r="Q19" s="17" t="n">
        <x:v>0.32</x:v>
      </x:c>
      <x:c r="R19" s="17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4e65a9d0b227412e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6" hidden="0" customWidth="1"/>
    <x:col min="2" max="2" width="3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26" hidden="0" customWidth="1"/>
    <x:col min="20" max="20" width="6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</x:row>
    <x:row r="2">
      <x:c r="A2" s="2" t="str">
        <x:v>Механизмы оружия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Цена механизма уже учитывает сборочный кредит 16 штрихов текущей игры. Обойма задаёт цикл новой модели.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</x:row>
    <x:row r="5" ht="46" customHeight="1">
      <x:c r="A5" s="8" t="str">
        <x:v>ID</x:v>
      </x:c>
      <x:c r="B5" s="8" t="str">
        <x:v>Механизм</x:v>
      </x:c>
      <x:c r="C5" s="8" t="str">
        <x:v>Уровень</x:v>
      </x:c>
      <x:c r="D5" s="8" t="str">
        <x:v>Открытие, зол.</x:v>
      </x:c>
      <x:c r="E5" s="8" t="str">
        <x:v>Цена, штр.</x:v>
      </x:c>
      <x:c r="F5" s="8" t="str">
        <x:v>Нагрузка</x:v>
      </x:c>
      <x:c r="G5" s="8" t="str">
        <x:v>Урон</x:v>
      </x:c>
      <x:c r="H5" s="8" t="str">
        <x:v>Интервал, с</x:v>
      </x:c>
      <x:c r="I5" s="8" t="str">
        <x:v>Дальность, кл.</x:v>
      </x:c>
      <x:c r="J5" s="8" t="str">
        <x:v>Мин. дальность</x:v>
      </x:c>
      <x:c r="K5" s="8" t="str">
        <x:v>Обойма, шт.</x:v>
      </x:c>
      <x:c r="L5" s="8" t="str">
        <x:v>Смена обоймы, с</x:v>
      </x:c>
      <x:c r="M5" s="8" t="str">
        <x:v>Цели для оценки</x:v>
      </x:c>
      <x:c r="N5" s="8" t="str">
        <x:v>Радиус, кл.</x:v>
      </x:c>
      <x:c r="O5" s="8" t="str">
        <x:v>Скорость цели ×</x:v>
      </x:c>
      <x:c r="P5" s="8" t="str">
        <x:v>Эффект, с</x:v>
      </x:c>
      <x:c r="Q5" s="8" t="str">
        <x:v>Полёт, с</x:v>
      </x:c>
      <x:c r="R5" s="8" t="str">
        <x:v>Переход, кл.</x:v>
      </x:c>
      <x:c r="S5" s="8" t="str">
        <x:v>Поведение</x:v>
      </x:c>
      <x:c r="T5" s="8" t="str">
        <x:v>Условие</x:v>
      </x:c>
    </x:row>
    <x:row r="6" ht="28" customHeight="1">
      <x:c r="A6" s="14" t="str">
        <x:v>core.gun</x:v>
      </x:c>
      <x:c r="B6" s="14" t="str">
        <x:v>Пулемёт</x:v>
      </x:c>
      <x:c r="C6" s="16" t="n">
        <x:v>1</x:v>
      </x:c>
      <x:c r="D6" s="16" t="n">
        <x:v>0</x:v>
      </x:c>
      <x:c r="E6" s="16" t="n">
        <x:v>24</x:v>
      </x:c>
      <x:c r="F6" s="16" t="n">
        <x:v>4</x:v>
      </x:c>
      <x:c r="G6" s="16" t="n">
        <x:v>12</x:v>
      </x:c>
      <x:c r="H6" s="17" t="n">
        <x:v>0.42</x:v>
      </x:c>
      <x:c r="I6" s="17" t="n">
        <x:v>8</x:v>
      </x:c>
      <x:c r="J6" s="16" t="n">
        <x:v>0</x:v>
      </x:c>
      <x:c r="K6" s="16" t="n">
        <x:v>6</x:v>
      </x:c>
      <x:c r="L6" s="17" t="n">
        <x:v>0.42</x:v>
      </x:c>
      <x:c r="M6" s="16" t="n">
        <x:v>1</x:v>
      </x:c>
      <x:c r="N6" s="17" t="n">
        <x:v>0.1</x:v>
      </x:c>
      <x:c r="O6" s="17" t="n">
        <x:v>1</x:v>
      </x:c>
      <x:c r="P6" s="16" t="n">
        <x:v>0</x:v>
      </x:c>
      <x:c r="Q6" s="17" t="n">
        <x:v>0</x:v>
      </x:c>
      <x:c r="R6" s="16" t="n">
        <x:v>0</x:v>
      </x:c>
      <x:c r="S6" s="14" t="str">
        <x:v>Одиночный</x:v>
      </x:c>
      <x:c r="T6" s="14" t="str">
        <x:v>Частые одиночные попадания</x:v>
      </x:c>
    </x:row>
    <x:row r="7" ht="28" customHeight="1">
      <x:c r="A7" s="15" t="str">
        <x:v>core.piercer</x:v>
      </x:c>
      <x:c r="B7" s="15" t="str">
        <x:v>Пробивающая пушка</x:v>
      </x:c>
      <x:c r="C7" s="16" t="n">
        <x:v>1</x:v>
      </x:c>
      <x:c r="D7" s="16" t="n">
        <x:v>0</x:v>
      </x:c>
      <x:c r="E7" s="16" t="n">
        <x:v>44</x:v>
      </x:c>
      <x:c r="F7" s="16" t="n">
        <x:v>6</x:v>
      </x:c>
      <x:c r="G7" s="16" t="n">
        <x:v>20</x:v>
      </x:c>
      <x:c r="H7" s="17" t="n">
        <x:v>1</x:v>
      </x:c>
      <x:c r="I7" s="17" t="n">
        <x:v>12.5</x:v>
      </x:c>
      <x:c r="J7" s="16" t="n">
        <x:v>0</x:v>
      </x:c>
      <x:c r="K7" s="16" t="n">
        <x:v>1</x:v>
      </x:c>
      <x:c r="L7" s="17" t="n">
        <x:v>1</x:v>
      </x:c>
      <x:c r="M7" s="16" t="n">
        <x:v>7</x:v>
      </x:c>
      <x:c r="N7" s="17" t="n">
        <x:v>0.38</x:v>
      </x:c>
      <x:c r="O7" s="17" t="n">
        <x:v>1</x:v>
      </x:c>
      <x:c r="P7" s="16" t="n">
        <x:v>0</x:v>
      </x:c>
      <x:c r="Q7" s="17" t="n">
        <x:v>0</x:v>
      </x:c>
      <x:c r="R7" s="16" t="n">
        <x:v>0</x:v>
      </x:c>
      <x:c r="S7" s="15" t="str">
        <x:v>Пробитие</x:v>
      </x:c>
      <x:c r="T7" s="15" t="str">
        <x:v>До 7 разных целей, броня действует</x:v>
      </x:c>
    </x:row>
    <x:row r="8" ht="28" customHeight="1">
      <x:c r="A8" s="14" t="str">
        <x:v>core.mortar</x:v>
      </x:c>
      <x:c r="B8" s="14" t="str">
        <x:v>Мортира</x:v>
      </x:c>
      <x:c r="C8" s="16" t="n">
        <x:v>1</x:v>
      </x:c>
      <x:c r="D8" s="16" t="n">
        <x:v>0</x:v>
      </x:c>
      <x:c r="E8" s="16" t="n">
        <x:v>69</x:v>
      </x:c>
      <x:c r="F8" s="16" t="n">
        <x:v>7</x:v>
      </x:c>
      <x:c r="G8" s="16" t="n">
        <x:v>28</x:v>
      </x:c>
      <x:c r="H8" s="17" t="n">
        <x:v>1.9</x:v>
      </x:c>
      <x:c r="I8" s="17" t="n">
        <x:v>18</x:v>
      </x:c>
      <x:c r="J8" s="16" t="n">
        <x:v>6</x:v>
      </x:c>
      <x:c r="K8" s="16" t="n">
        <x:v>1</x:v>
      </x:c>
      <x:c r="L8" s="17" t="n">
        <x:v>1.9</x:v>
      </x:c>
      <x:c r="M8" s="16" t="n">
        <x:v>8</x:v>
      </x:c>
      <x:c r="N8" s="17" t="n">
        <x:v>2.4</x:v>
      </x:c>
      <x:c r="O8" s="17" t="n">
        <x:v>1</x:v>
      </x:c>
      <x:c r="P8" s="16" t="n">
        <x:v>0</x:v>
      </x:c>
      <x:c r="Q8" s="17" t="n">
        <x:v>0.8</x:v>
      </x:c>
      <x:c r="R8" s="16" t="n">
        <x:v>0</x:v>
      </x:c>
      <x:c r="S8" s="14" t="str">
        <x:v>Площадь</x:v>
      </x:c>
      <x:c r="T8" s="14" t="str">
        <x:v>Оценка по 8 целям; фактическое число в радиусе зависит от сцены</x:v>
      </x:c>
    </x:row>
    <x:row r="9" ht="28" customHeight="1">
      <x:c r="A9" s="15" t="str">
        <x:v>core.fan</x:v>
      </x:c>
      <x:c r="B9" s="15" t="str">
        <x:v>Веерный ствол</x:v>
      </x:c>
      <x:c r="C9" s="16" t="n">
        <x:v>4</x:v>
      </x:c>
      <x:c r="D9" s="16" t="n">
        <x:v>80</x:v>
      </x:c>
      <x:c r="E9" s="16" t="n">
        <x:v>39</x:v>
      </x:c>
      <x:c r="F9" s="16" t="n">
        <x:v>5</x:v>
      </x:c>
      <x:c r="G9" s="16" t="n">
        <x:v>14</x:v>
      </x:c>
      <x:c r="H9" s="17" t="n">
        <x:v>0.85</x:v>
      </x:c>
      <x:c r="I9" s="17" t="n">
        <x:v>6</x:v>
      </x:c>
      <x:c r="J9" s="16" t="n">
        <x:v>0</x:v>
      </x:c>
      <x:c r="K9" s="16" t="n">
        <x:v>1</x:v>
      </x:c>
      <x:c r="L9" s="17" t="n">
        <x:v>0.85</x:v>
      </x:c>
      <x:c r="M9" s="16" t="n">
        <x:v>8</x:v>
      </x:c>
      <x:c r="N9" s="17" t="n">
        <x:v>0.1</x:v>
      </x:c>
      <x:c r="O9" s="17" t="n">
        <x:v>1</x:v>
      </x:c>
      <x:c r="P9" s="16" t="n">
        <x:v>0</x:v>
      </x:c>
      <x:c r="Q9" s="17" t="n">
        <x:v>0</x:v>
      </x:c>
      <x:c r="R9" s="16" t="n">
        <x:v>0</x:v>
      </x:c>
      <x:c r="S9" s="15" t="str">
        <x:v>Веер</x:v>
      </x:c>
      <x:c r="T9" s="15" t="str">
        <x:v>До 8 целей в конусе 90°</x:v>
      </x:c>
    </x:row>
    <x:row r="10" ht="28" customHeight="1">
      <x:c r="A10" s="14" t="str">
        <x:v>core.ricochet</x:v>
      </x:c>
      <x:c r="B10" s="14" t="str">
        <x:v>Рикошет</x:v>
      </x:c>
      <x:c r="C10" s="16" t="n">
        <x:v>6</x:v>
      </x:c>
      <x:c r="D10" s="16" t="n">
        <x:v>120</x:v>
      </x:c>
      <x:c r="E10" s="16" t="n">
        <x:v>52</x:v>
      </x:c>
      <x:c r="F10" s="16" t="n">
        <x:v>5</x:v>
      </x:c>
      <x:c r="G10" s="16" t="n">
        <x:v>12</x:v>
      </x:c>
      <x:c r="H10" s="17" t="n">
        <x:v>0.9</x:v>
      </x:c>
      <x:c r="I10" s="17" t="n">
        <x:v>10</x:v>
      </x:c>
      <x:c r="J10" s="16" t="n">
        <x:v>0</x:v>
      </x:c>
      <x:c r="K10" s="16" t="n">
        <x:v>1</x:v>
      </x:c>
      <x:c r="L10" s="17" t="n">
        <x:v>0.9</x:v>
      </x:c>
      <x:c r="M10" s="16" t="n">
        <x:v>4</x:v>
      </x:c>
      <x:c r="N10" s="17" t="n">
        <x:v>0.1</x:v>
      </x:c>
      <x:c r="O10" s="17" t="n">
        <x:v>1</x:v>
      </x:c>
      <x:c r="P10" s="16" t="n">
        <x:v>0</x:v>
      </x:c>
      <x:c r="Q10" s="17" t="n">
        <x:v>0</x:v>
      </x:c>
      <x:c r="R10" s="16" t="n">
        <x:v>3</x:v>
      </x:c>
      <x:c r="S10" s="14" t="str">
        <x:v>Рикошет</x:v>
      </x:c>
      <x:c r="T10" s="14" t="str">
        <x:v>4 разные цели; переход до 3 клеток</x:v>
      </x:c>
    </x:row>
    <x:row r="11" ht="28" customHeight="1">
      <x:c r="A11" s="15" t="str">
        <x:v>core.stapler</x:v>
      </x:c>
      <x:c r="B11" s="15" t="str">
        <x:v>Степлер</x:v>
      </x:c>
      <x:c r="C11" s="16" t="n">
        <x:v>2</x:v>
      </x:c>
      <x:c r="D11" s="16" t="n">
        <x:v>40</x:v>
      </x:c>
      <x:c r="E11" s="16" t="n">
        <x:v>12</x:v>
      </x:c>
      <x:c r="F11" s="16" t="n">
        <x:v>2</x:v>
      </x:c>
      <x:c r="G11" s="16" t="n">
        <x:v>5</x:v>
      </x:c>
      <x:c r="H11" s="17" t="n">
        <x:v>0.6</x:v>
      </x:c>
      <x:c r="I11" s="17" t="n">
        <x:v>9</x:v>
      </x:c>
      <x:c r="J11" s="16" t="n">
        <x:v>0</x:v>
      </x:c>
      <x:c r="K11" s="16" t="n">
        <x:v>4</x:v>
      </x:c>
      <x:c r="L11" s="17" t="n">
        <x:v>0.6</x:v>
      </x:c>
      <x:c r="M11" s="16" t="n">
        <x:v>1</x:v>
      </x:c>
      <x:c r="N11" s="17" t="n">
        <x:v>0.1</x:v>
      </x:c>
      <x:c r="O11" s="17" t="n">
        <x:v>0.6</x:v>
      </x:c>
      <x:c r="P11" s="16" t="n">
        <x:v>2</x:v>
      </x:c>
      <x:c r="Q11" s="17" t="n">
        <x:v>0</x:v>
      </x:c>
      <x:c r="R11" s="16" t="n">
        <x:v>0</x:v>
      </x:c>
      <x:c r="S11" s="15" t="str">
        <x:v>Замедление</x:v>
      </x:c>
      <x:c r="T11" s="15" t="str">
        <x:v>Движение ×0,6 на 2 с; сильнейшее замедление</x:v>
      </x:c>
    </x:row>
    <x:row r="12" ht="28" customHeight="1">
      <x:c r="A12" s="14" t="str">
        <x:v>core.blotter</x:v>
      </x:c>
      <x:c r="B12" s="14" t="str">
        <x:v>Промокашка</x:v>
      </x:c>
      <x:c r="C12" s="16" t="n">
        <x:v>3</x:v>
      </x:c>
      <x:c r="D12" s="16" t="n">
        <x:v>50</x:v>
      </x:c>
      <x:c r="E12" s="16" t="n">
        <x:v>8</x:v>
      </x:c>
      <x:c r="F12" s="16" t="n">
        <x:v>2</x:v>
      </x:c>
      <x:c r="G12" s="16" t="n">
        <x:v>0</x:v>
      </x:c>
      <x:c r="H12" s="17" t="n">
        <x:v>1.4</x:v>
      </x:c>
      <x:c r="I12" s="17" t="n">
        <x:v>9</x:v>
      </x:c>
      <x:c r="J12" s="16" t="n">
        <x:v>0</x:v>
      </x:c>
      <x:c r="K12" s="16" t="n">
        <x:v>1</x:v>
      </x:c>
      <x:c r="L12" s="17" t="n">
        <x:v>1.4</x:v>
      </x:c>
      <x:c r="M12" s="16" t="n">
        <x:v>0</x:v>
      </x:c>
      <x:c r="N12" s="17" t="n">
        <x:v>2</x:v>
      </x:c>
      <x:c r="O12" s="17" t="n">
        <x:v>1</x:v>
      </x:c>
      <x:c r="P12" s="16" t="n">
        <x:v>0</x:v>
      </x:c>
      <x:c r="Q12" s="17" t="n">
        <x:v>0</x:v>
      </x:c>
      <x:c r="R12" s="16" t="n">
        <x:v>0</x:v>
      </x:c>
      <x:c r="S12" s="14" t="str">
        <x:v>Очистка</x:v>
      </x:c>
      <x:c r="T12" s="14" t="str">
        <x:v>Нулевой урон; очистка клякс радиусом 2</x:v>
      </x:c>
    </x:row>
  </x:sheetData>
  <x:pageMargins left="0.7" right="0.7" top="0.75" bottom="0.75" header="0.3" footer="0.3"/>
  <x:tableParts count="1">
    <x:tablePart xmlns:r="http://schemas.openxmlformats.org/officeDocument/2006/relationships" r:id="R3c16e35048a84dc0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6" hidden="0" customWidth="1"/>
    <x:col min="2" max="2" width="35" hidden="0" customWidth="1"/>
    <x:col min="3" max="3" width="26" hidden="0" customWidth="1"/>
    <x:col min="4" max="4" width="42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6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>
      <x:c r="A2" s="2" t="str">
        <x:v>Стволы, прицелы, магазины и спуски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>
      <x:c r="A3" s="3" t="str">
        <x:v>all — все 7 механизмов; очередь 3 разрешена только со штатной обоймой. Урон не зависит от изображения.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46" customHeight="1">
      <x:c r="A5" s="8" t="str">
        <x:v>ID</x:v>
      </x:c>
      <x:c r="B5" s="8" t="str">
        <x:v>Деталь</x:v>
      </x:c>
      <x:c r="C5" s="8" t="str">
        <x:v>Категория</x:v>
      </x:c>
      <x:c r="D5" s="8" t="str">
        <x:v>Совместимые механизмы</x:v>
      </x:c>
      <x:c r="E5" s="8" t="str">
        <x:v>Уровень</x:v>
      </x:c>
      <x:c r="F5" s="8" t="str">
        <x:v>Открытие, зол.</x:v>
      </x:c>
      <x:c r="G5" s="8" t="str">
        <x:v>Цена, штр. +</x:v>
      </x:c>
      <x:c r="H5" s="8" t="str">
        <x:v>Нагрузка +</x:v>
      </x:c>
      <x:c r="I5" s="8" t="str">
        <x:v>Урон ×</x:v>
      </x:c>
      <x:c r="J5" s="8" t="str">
        <x:v>Интервал ×</x:v>
      </x:c>
      <x:c r="K5" s="8" t="str">
        <x:v>Дальность ×</x:v>
      </x:c>
      <x:c r="L5" s="8" t="str">
        <x:v>Обойма ×</x:v>
      </x:c>
      <x:c r="M5" s="8" t="str">
        <x:v>Обойма замена</x:v>
      </x:c>
      <x:c r="N5" s="8" t="str">
        <x:v>Перезарядка ×</x:v>
      </x:c>
      <x:c r="O5" s="8" t="str">
        <x:v>Захват ×</x:v>
      </x:c>
      <x:c r="P5" s="8" t="str">
        <x:v>Радиус ×</x:v>
      </x:c>
      <x:c r="Q5" s="8" t="str">
        <x:v>Особое правило</x:v>
      </x:c>
    </x:row>
    <x:row r="6" ht="28" customHeight="1">
      <x:c r="A6" s="14" t="str">
        <x:v>head.gun</x:v>
      </x:c>
      <x:c r="B6" s="14" t="str">
        <x:v>Штатный ствол: Пулемёт</x:v>
      </x:c>
      <x:c r="C6" s="14" t="str">
        <x:v>Ствол / головка</x:v>
      </x:c>
      <x:c r="D6" s="14" t="str">
        <x:v>core.gun</x:v>
      </x:c>
      <x:c r="E6" s="16" t="n">
        <x:v>1</x:v>
      </x:c>
      <x:c r="F6" s="16" t="n">
        <x:v>0</x:v>
      </x:c>
      <x:c r="G6" s="16" t="n">
        <x:v>0</x:v>
      </x:c>
      <x:c r="H6" s="16" t="n">
        <x:v>0</x:v>
      </x:c>
      <x:c r="I6" s="17" t="n">
        <x:v>1</x:v>
      </x:c>
      <x:c r="J6" s="17" t="n">
        <x:v>1</x:v>
      </x:c>
      <x:c r="K6" s="17" t="n">
        <x:v>1</x:v>
      </x:c>
      <x:c r="L6" s="16" t="n">
        <x:v>1</x:v>
      </x:c>
      <x:c r="M6" s="16" t="n">
        <x:v>0</x:v>
      </x:c>
      <x:c r="N6" s="17" t="n">
        <x:v>1</x:v>
      </x:c>
      <x:c r="O6" s="17" t="n">
        <x:v>1</x:v>
      </x:c>
      <x:c r="P6" s="17" t="n">
        <x:v>1</x:v>
      </x:c>
      <x:c r="Q6" s="14" t="str"/>
    </x:row>
    <x:row r="7" ht="28" customHeight="1">
      <x:c r="A7" s="15" t="str">
        <x:v>head.piercer</x:v>
      </x:c>
      <x:c r="B7" s="15" t="str">
        <x:v>Штатный ствол: Пробивающая пушка</x:v>
      </x:c>
      <x:c r="C7" s="15" t="str">
        <x:v>Ствол / головка</x:v>
      </x:c>
      <x:c r="D7" s="15" t="str">
        <x:v>core.piercer</x:v>
      </x:c>
      <x:c r="E7" s="16" t="n">
        <x:v>1</x:v>
      </x:c>
      <x:c r="F7" s="16" t="n">
        <x:v>0</x:v>
      </x:c>
      <x:c r="G7" s="16" t="n">
        <x:v>0</x:v>
      </x:c>
      <x:c r="H7" s="16" t="n">
        <x:v>0</x:v>
      </x:c>
      <x:c r="I7" s="17" t="n">
        <x:v>1</x:v>
      </x:c>
      <x:c r="J7" s="17" t="n">
        <x:v>1</x:v>
      </x:c>
      <x:c r="K7" s="17" t="n">
        <x:v>1</x:v>
      </x:c>
      <x:c r="L7" s="16" t="n">
        <x:v>1</x:v>
      </x:c>
      <x:c r="M7" s="16" t="n">
        <x:v>0</x:v>
      </x:c>
      <x:c r="N7" s="17" t="n">
        <x:v>1</x:v>
      </x:c>
      <x:c r="O7" s="17" t="n">
        <x:v>1</x:v>
      </x:c>
      <x:c r="P7" s="17" t="n">
        <x:v>1</x:v>
      </x:c>
      <x:c r="Q7" s="15" t="str"/>
    </x:row>
    <x:row r="8" ht="28" customHeight="1">
      <x:c r="A8" s="14" t="str">
        <x:v>head.mortar</x:v>
      </x:c>
      <x:c r="B8" s="14" t="str">
        <x:v>Штатный ствол: Мортира</x:v>
      </x:c>
      <x:c r="C8" s="14" t="str">
        <x:v>Ствол / головка</x:v>
      </x:c>
      <x:c r="D8" s="14" t="str">
        <x:v>core.mortar</x:v>
      </x:c>
      <x:c r="E8" s="16" t="n">
        <x:v>1</x:v>
      </x:c>
      <x:c r="F8" s="16" t="n">
        <x:v>0</x:v>
      </x:c>
      <x:c r="G8" s="16" t="n">
        <x:v>0</x:v>
      </x:c>
      <x:c r="H8" s="16" t="n">
        <x:v>0</x:v>
      </x:c>
      <x:c r="I8" s="17" t="n">
        <x:v>1</x:v>
      </x:c>
      <x:c r="J8" s="17" t="n">
        <x:v>1</x:v>
      </x:c>
      <x:c r="K8" s="17" t="n">
        <x:v>1</x:v>
      </x:c>
      <x:c r="L8" s="16" t="n">
        <x:v>1</x:v>
      </x:c>
      <x:c r="M8" s="16" t="n">
        <x:v>0</x:v>
      </x:c>
      <x:c r="N8" s="17" t="n">
        <x:v>1</x:v>
      </x:c>
      <x:c r="O8" s="17" t="n">
        <x:v>1</x:v>
      </x:c>
      <x:c r="P8" s="17" t="n">
        <x:v>1</x:v>
      </x:c>
      <x:c r="Q8" s="14" t="str"/>
    </x:row>
    <x:row r="9" ht="28" customHeight="1">
      <x:c r="A9" s="15" t="str">
        <x:v>head.fan</x:v>
      </x:c>
      <x:c r="B9" s="15" t="str">
        <x:v>Штатный ствол: Веерный ствол</x:v>
      </x:c>
      <x:c r="C9" s="15" t="str">
        <x:v>Ствол / головка</x:v>
      </x:c>
      <x:c r="D9" s="15" t="str">
        <x:v>core.fan</x:v>
      </x:c>
      <x:c r="E9" s="16" t="n">
        <x:v>1</x:v>
      </x:c>
      <x:c r="F9" s="16" t="n">
        <x:v>0</x:v>
      </x:c>
      <x:c r="G9" s="16" t="n">
        <x:v>0</x:v>
      </x:c>
      <x:c r="H9" s="16" t="n">
        <x:v>0</x:v>
      </x:c>
      <x:c r="I9" s="17" t="n">
        <x:v>1</x:v>
      </x:c>
      <x:c r="J9" s="17" t="n">
        <x:v>1</x:v>
      </x:c>
      <x:c r="K9" s="17" t="n">
        <x:v>1</x:v>
      </x:c>
      <x:c r="L9" s="16" t="n">
        <x:v>1</x:v>
      </x:c>
      <x:c r="M9" s="16" t="n">
        <x:v>0</x:v>
      </x:c>
      <x:c r="N9" s="17" t="n">
        <x:v>1</x:v>
      </x:c>
      <x:c r="O9" s="17" t="n">
        <x:v>1</x:v>
      </x:c>
      <x:c r="P9" s="17" t="n">
        <x:v>1</x:v>
      </x:c>
      <x:c r="Q9" s="15" t="str"/>
    </x:row>
    <x:row r="10" ht="28" customHeight="1">
      <x:c r="A10" s="14" t="str">
        <x:v>head.ricochet</x:v>
      </x:c>
      <x:c r="B10" s="14" t="str">
        <x:v>Штатная головка: Рикошет</x:v>
      </x:c>
      <x:c r="C10" s="14" t="str">
        <x:v>Ствол / головка</x:v>
      </x:c>
      <x:c r="D10" s="14" t="str">
        <x:v>core.ricochet</x:v>
      </x:c>
      <x:c r="E10" s="16" t="n">
        <x:v>1</x:v>
      </x:c>
      <x:c r="F10" s="16" t="n">
        <x:v>0</x:v>
      </x:c>
      <x:c r="G10" s="16" t="n">
        <x:v>0</x:v>
      </x:c>
      <x:c r="H10" s="16" t="n">
        <x:v>0</x:v>
      </x:c>
      <x:c r="I10" s="17" t="n">
        <x:v>1</x:v>
      </x:c>
      <x:c r="J10" s="17" t="n">
        <x:v>1</x:v>
      </x:c>
      <x:c r="K10" s="17" t="n">
        <x:v>1</x:v>
      </x:c>
      <x:c r="L10" s="16" t="n">
        <x:v>1</x:v>
      </x:c>
      <x:c r="M10" s="16" t="n">
        <x:v>0</x:v>
      </x:c>
      <x:c r="N10" s="17" t="n">
        <x:v>1</x:v>
      </x:c>
      <x:c r="O10" s="17" t="n">
        <x:v>1</x:v>
      </x:c>
      <x:c r="P10" s="17" t="n">
        <x:v>1</x:v>
      </x:c>
      <x:c r="Q10" s="14" t="str"/>
    </x:row>
    <x:row r="11" ht="28" customHeight="1">
      <x:c r="A11" s="15" t="str">
        <x:v>head.stapler</x:v>
      </x:c>
      <x:c r="B11" s="15" t="str">
        <x:v>Штатная головка: Степлер</x:v>
      </x:c>
      <x:c r="C11" s="15" t="str">
        <x:v>Ствол / головка</x:v>
      </x:c>
      <x:c r="D11" s="15" t="str">
        <x:v>core.stapler</x:v>
      </x:c>
      <x:c r="E11" s="16" t="n">
        <x:v>1</x:v>
      </x:c>
      <x:c r="F11" s="16" t="n">
        <x:v>0</x:v>
      </x:c>
      <x:c r="G11" s="16" t="n">
        <x:v>0</x:v>
      </x:c>
      <x:c r="H11" s="16" t="n">
        <x:v>0</x:v>
      </x:c>
      <x:c r="I11" s="17" t="n">
        <x:v>1</x:v>
      </x:c>
      <x:c r="J11" s="17" t="n">
        <x:v>1</x:v>
      </x:c>
      <x:c r="K11" s="17" t="n">
        <x:v>1</x:v>
      </x:c>
      <x:c r="L11" s="16" t="n">
        <x:v>1</x:v>
      </x:c>
      <x:c r="M11" s="16" t="n">
        <x:v>0</x:v>
      </x:c>
      <x:c r="N11" s="17" t="n">
        <x:v>1</x:v>
      </x:c>
      <x:c r="O11" s="17" t="n">
        <x:v>1</x:v>
      </x:c>
      <x:c r="P11" s="17" t="n">
        <x:v>1</x:v>
      </x:c>
      <x:c r="Q11" s="15" t="str"/>
    </x:row>
    <x:row r="12" ht="28" customHeight="1">
      <x:c r="A12" s="14" t="str">
        <x:v>head.blotter</x:v>
      </x:c>
      <x:c r="B12" s="14" t="str">
        <x:v>Штатная головка: Промокашка</x:v>
      </x:c>
      <x:c r="C12" s="14" t="str">
        <x:v>Ствол / головка</x:v>
      </x:c>
      <x:c r="D12" s="14" t="str">
        <x:v>core.blotter</x:v>
      </x:c>
      <x:c r="E12" s="16" t="n">
        <x:v>1</x:v>
      </x:c>
      <x:c r="F12" s="16" t="n">
        <x:v>0</x:v>
      </x:c>
      <x:c r="G12" s="16" t="n">
        <x:v>0</x:v>
      </x:c>
      <x:c r="H12" s="16" t="n">
        <x:v>0</x:v>
      </x:c>
      <x:c r="I12" s="17" t="n">
        <x:v>1</x:v>
      </x:c>
      <x:c r="J12" s="17" t="n">
        <x:v>1</x:v>
      </x:c>
      <x:c r="K12" s="17" t="n">
        <x:v>1</x:v>
      </x:c>
      <x:c r="L12" s="16" t="n">
        <x:v>1</x:v>
      </x:c>
      <x:c r="M12" s="16" t="n">
        <x:v>0</x:v>
      </x:c>
      <x:c r="N12" s="17" t="n">
        <x:v>1</x:v>
      </x:c>
      <x:c r="O12" s="17" t="n">
        <x:v>1</x:v>
      </x:c>
      <x:c r="P12" s="17" t="n">
        <x:v>1</x:v>
      </x:c>
      <x:c r="Q12" s="14" t="str"/>
    </x:row>
    <x:row r="13" ht="28" customHeight="1">
      <x:c r="A13" s="15" t="str">
        <x:v>head.short</x:v>
      </x:c>
      <x:c r="B13" s="15" t="str">
        <x:v>Короткий ствол</x:v>
      </x:c>
      <x:c r="C13" s="15" t="str">
        <x:v>Ствол / головка</x:v>
      </x:c>
      <x:c r="D13" s="15" t="str">
        <x:v>core.gun,core.piercer</x:v>
      </x:c>
      <x:c r="E13" s="16" t="n">
        <x:v>2</x:v>
      </x:c>
      <x:c r="F13" s="16" t="n">
        <x:v>40</x:v>
      </x:c>
      <x:c r="G13" s="16" t="n">
        <x:v>-4</x:v>
      </x:c>
      <x:c r="H13" s="16" t="n">
        <x:v>-1</x:v>
      </x:c>
      <x:c r="I13" s="17" t="n">
        <x:v>0.9</x:v>
      </x:c>
      <x:c r="J13" s="17" t="n">
        <x:v>0.85</x:v>
      </x:c>
      <x:c r="K13" s="17" t="n">
        <x:v>0.8</x:v>
      </x:c>
      <x:c r="L13" s="16" t="n">
        <x:v>1</x:v>
      </x:c>
      <x:c r="M13" s="16" t="n">
        <x:v>0</x:v>
      </x:c>
      <x:c r="N13" s="17" t="n">
        <x:v>0.85</x:v>
      </x:c>
      <x:c r="O13" s="17" t="n">
        <x:v>1</x:v>
      </x:c>
      <x:c r="P13" s="17" t="n">
        <x:v>1</x:v>
      </x:c>
      <x:c r="Q13" s="15" t="str"/>
    </x:row>
    <x:row r="14" ht="28" customHeight="1">
      <x:c r="A14" s="14" t="str">
        <x:v>head.long</x:v>
      </x:c>
      <x:c r="B14" s="14" t="str">
        <x:v>Длинный ствол</x:v>
      </x:c>
      <x:c r="C14" s="14" t="str">
        <x:v>Ствол / головка</x:v>
      </x:c>
      <x:c r="D14" s="14" t="str">
        <x:v>core.gun,core.piercer</x:v>
      </x:c>
      <x:c r="E14" s="16" t="n">
        <x:v>4</x:v>
      </x:c>
      <x:c r="F14" s="16" t="n">
        <x:v>80</x:v>
      </x:c>
      <x:c r="G14" s="16" t="n">
        <x:v>12</x:v>
      </x:c>
      <x:c r="H14" s="16" t="n">
        <x:v>2</x:v>
      </x:c>
      <x:c r="I14" s="17" t="n">
        <x:v>1.1</x:v>
      </x:c>
      <x:c r="J14" s="17" t="n">
        <x:v>1.2</x:v>
      </x:c>
      <x:c r="K14" s="17" t="n">
        <x:v>1.25</x:v>
      </x:c>
      <x:c r="L14" s="16" t="n">
        <x:v>1</x:v>
      </x:c>
      <x:c r="M14" s="16" t="n">
        <x:v>0</x:v>
      </x:c>
      <x:c r="N14" s="17" t="n">
        <x:v>1.2</x:v>
      </x:c>
      <x:c r="O14" s="17" t="n">
        <x:v>1</x:v>
      </x:c>
      <x:c r="P14" s="17" t="n">
        <x:v>1</x:v>
      </x:c>
      <x:c r="Q14" s="14" t="str"/>
    </x:row>
    <x:row r="15" ht="28" customHeight="1">
      <x:c r="A15" s="15" t="str">
        <x:v>head.wide</x:v>
      </x:c>
      <x:c r="B15" s="15" t="str">
        <x:v>Широкий ствол</x:v>
      </x:c>
      <x:c r="C15" s="15" t="str">
        <x:v>Ствол / головка</x:v>
      </x:c>
      <x:c r="D15" s="15" t="str">
        <x:v>core.mortar</x:v>
      </x:c>
      <x:c r="E15" s="16" t="n">
        <x:v>6</x:v>
      </x:c>
      <x:c r="F15" s="16" t="n">
        <x:v>120</x:v>
      </x:c>
      <x:c r="G15" s="16" t="n">
        <x:v>16</x:v>
      </x:c>
      <x:c r="H15" s="16" t="n">
        <x:v>2</x:v>
      </x:c>
      <x:c r="I15" s="17" t="n">
        <x:v>1.25</x:v>
      </x:c>
      <x:c r="J15" s="17" t="n">
        <x:v>1.3</x:v>
      </x:c>
      <x:c r="K15" s="17" t="n">
        <x:v>0.9</x:v>
      </x:c>
      <x:c r="L15" s="16" t="n">
        <x:v>1</x:v>
      </x:c>
      <x:c r="M15" s="16" t="n">
        <x:v>0</x:v>
      </x:c>
      <x:c r="N15" s="17" t="n">
        <x:v>1.3</x:v>
      </x:c>
      <x:c r="O15" s="17" t="n">
        <x:v>1</x:v>
      </x:c>
      <x:c r="P15" s="17" t="n">
        <x:v>1.15</x:v>
      </x:c>
      <x:c r="Q15" s="15" t="str"/>
    </x:row>
    <x:row r="16" ht="28" customHeight="1">
      <x:c r="A16" s="14" t="str">
        <x:v>sight.iron</x:v>
      </x:c>
      <x:c r="B16" s="14" t="str">
        <x:v>Мушка / указатель</x:v>
      </x:c>
      <x:c r="C16" s="14" t="str">
        <x:v>Прицел</x:v>
      </x:c>
      <x:c r="D16" s="14" t="str">
        <x:v>all</x:v>
      </x:c>
      <x:c r="E16" s="16" t="n">
        <x:v>1</x:v>
      </x:c>
      <x:c r="F16" s="16" t="n">
        <x:v>0</x:v>
      </x:c>
      <x:c r="G16" s="16" t="n">
        <x:v>0</x:v>
      </x:c>
      <x:c r="H16" s="16" t="n">
        <x:v>0</x:v>
      </x:c>
      <x:c r="I16" s="17" t="n">
        <x:v>1</x:v>
      </x:c>
      <x:c r="J16" s="17" t="n">
        <x:v>1</x:v>
      </x:c>
      <x:c r="K16" s="17" t="n">
        <x:v>1</x:v>
      </x:c>
      <x:c r="L16" s="16" t="n">
        <x:v>1</x:v>
      </x:c>
      <x:c r="M16" s="16" t="n">
        <x:v>0</x:v>
      </x:c>
      <x:c r="N16" s="17" t="n">
        <x:v>1</x:v>
      </x:c>
      <x:c r="O16" s="17" t="n">
        <x:v>1</x:v>
      </x:c>
      <x:c r="P16" s="17" t="n">
        <x:v>1</x:v>
      </x:c>
      <x:c r="Q16" s="14" t="str"/>
    </x:row>
    <x:row r="17" ht="28" customHeight="1">
      <x:c r="A17" s="15" t="str">
        <x:v>sight.scope</x:v>
      </x:c>
      <x:c r="B17" s="15" t="str">
        <x:v>Оптика</x:v>
      </x:c>
      <x:c r="C17" s="15" t="str">
        <x:v>Прицел</x:v>
      </x:c>
      <x:c r="D17" s="15" t="str">
        <x:v>core.gun,core.piercer,core.mortar,core.ricochet</x:v>
      </x:c>
      <x:c r="E17" s="16" t="n">
        <x:v>3</x:v>
      </x:c>
      <x:c r="F17" s="16" t="n">
        <x:v>60</x:v>
      </x:c>
      <x:c r="G17" s="16" t="n">
        <x:v>10</x:v>
      </x:c>
      <x:c r="H17" s="16" t="n">
        <x:v>1</x:v>
      </x:c>
      <x:c r="I17" s="17" t="n">
        <x:v>1</x:v>
      </x:c>
      <x:c r="J17" s="17" t="n">
        <x:v>1</x:v>
      </x:c>
      <x:c r="K17" s="17" t="n">
        <x:v>1.15</x:v>
      </x:c>
      <x:c r="L17" s="16" t="n">
        <x:v>1</x:v>
      </x:c>
      <x:c r="M17" s="16" t="n">
        <x:v>0</x:v>
      </x:c>
      <x:c r="N17" s="17" t="n">
        <x:v>1</x:v>
      </x:c>
      <x:c r="O17" s="17" t="n">
        <x:v>1.3</x:v>
      </x:c>
      <x:c r="P17" s="17" t="n">
        <x:v>1</x:v>
      </x:c>
      <x:c r="Q17" s="15" t="str"/>
    </x:row>
    <x:row r="18" ht="28" customHeight="1">
      <x:c r="A18" s="14" t="str">
        <x:v>sight.tracking</x:v>
      </x:c>
      <x:c r="B18" s="14" t="str">
        <x:v>Следящий прицел</x:v>
      </x:c>
      <x:c r="C18" s="14" t="str">
        <x:v>Прицел</x:v>
      </x:c>
      <x:c r="D18" s="14" t="str">
        <x:v>all</x:v>
      </x:c>
      <x:c r="E18" s="16" t="n">
        <x:v>5</x:v>
      </x:c>
      <x:c r="F18" s="16" t="n">
        <x:v>90</x:v>
      </x:c>
      <x:c r="G18" s="16" t="n">
        <x:v>8</x:v>
      </x:c>
      <x:c r="H18" s="16" t="n">
        <x:v>1</x:v>
      </x:c>
      <x:c r="I18" s="17" t="n">
        <x:v>1</x:v>
      </x:c>
      <x:c r="J18" s="17" t="n">
        <x:v>1</x:v>
      </x:c>
      <x:c r="K18" s="17" t="n">
        <x:v>0.95</x:v>
      </x:c>
      <x:c r="L18" s="16" t="n">
        <x:v>1</x:v>
      </x:c>
      <x:c r="M18" s="16" t="n">
        <x:v>0</x:v>
      </x:c>
      <x:c r="N18" s="17" t="n">
        <x:v>1</x:v>
      </x:c>
      <x:c r="O18" s="17" t="n">
        <x:v>0.4</x:v>
      </x:c>
      <x:c r="P18" s="17" t="n">
        <x:v>1</x:v>
      </x:c>
      <x:c r="Q18" s="14" t="str"/>
    </x:row>
    <x:row r="19" ht="28" customHeight="1">
      <x:c r="A19" s="15" t="str">
        <x:v>magazine.standard</x:v>
      </x:c>
      <x:c r="B19" s="15" t="str">
        <x:v>Штатная обойма / кассета</x:v>
      </x:c>
      <x:c r="C19" s="15" t="str">
        <x:v>Магазин</x:v>
      </x:c>
      <x:c r="D19" s="15" t="str">
        <x:v>all</x:v>
      </x:c>
      <x:c r="E19" s="16" t="n">
        <x:v>1</x:v>
      </x:c>
      <x:c r="F19" s="16" t="n">
        <x:v>0</x:v>
      </x:c>
      <x:c r="G19" s="16" t="n">
        <x:v>0</x:v>
      </x:c>
      <x:c r="H19" s="16" t="n">
        <x:v>0</x:v>
      </x:c>
      <x:c r="I19" s="17" t="n">
        <x:v>1</x:v>
      </x:c>
      <x:c r="J19" s="17" t="n">
        <x:v>1</x:v>
      </x:c>
      <x:c r="K19" s="17" t="n">
        <x:v>1</x:v>
      </x:c>
      <x:c r="L19" s="16" t="n">
        <x:v>1</x:v>
      </x:c>
      <x:c r="M19" s="16" t="n">
        <x:v>0</x:v>
      </x:c>
      <x:c r="N19" s="17" t="n">
        <x:v>1</x:v>
      </x:c>
      <x:c r="O19" s="17" t="n">
        <x:v>1</x:v>
      </x:c>
      <x:c r="P19" s="17" t="n">
        <x:v>1</x:v>
      </x:c>
      <x:c r="Q19" s="15" t="str"/>
    </x:row>
    <x:row r="20" ht="28" customHeight="1">
      <x:c r="A20" s="14" t="str">
        <x:v>magazine.drum</x:v>
      </x:c>
      <x:c r="B20" s="14" t="str">
        <x:v>Барабан</x:v>
      </x:c>
      <x:c r="C20" s="14" t="str">
        <x:v>Магазин</x:v>
      </x:c>
      <x:c r="D20" s="14" t="str">
        <x:v>core.gun,core.stapler</x:v>
      </x:c>
      <x:c r="E20" s="16" t="n">
        <x:v>4</x:v>
      </x:c>
      <x:c r="F20" s="16" t="n">
        <x:v>80</x:v>
      </x:c>
      <x:c r="G20" s="16" t="n">
        <x:v>12</x:v>
      </x:c>
      <x:c r="H20" s="16" t="n">
        <x:v>1</x:v>
      </x:c>
      <x:c r="I20" s="17" t="n">
        <x:v>1</x:v>
      </x:c>
      <x:c r="J20" s="17" t="n">
        <x:v>0.85</x:v>
      </x:c>
      <x:c r="K20" s="17" t="n">
        <x:v>1</x:v>
      </x:c>
      <x:c r="L20" s="16" t="n">
        <x:v>2</x:v>
      </x:c>
      <x:c r="M20" s="16" t="n">
        <x:v>0</x:v>
      </x:c>
      <x:c r="N20" s="17" t="n">
        <x:v>3</x:v>
      </x:c>
      <x:c r="O20" s="17" t="n">
        <x:v>1</x:v>
      </x:c>
      <x:c r="P20" s="17" t="n">
        <x:v>1</x:v>
      </x:c>
      <x:c r="Q20" s="14" t="str"/>
    </x:row>
    <x:row r="21" ht="28" customHeight="1">
      <x:c r="A21" s="15" t="str">
        <x:v>magazine.belt</x:v>
      </x:c>
      <x:c r="B21" s="15" t="str">
        <x:v>Лента</x:v>
      </x:c>
      <x:c r="C21" s="15" t="str">
        <x:v>Магазин</x:v>
      </x:c>
      <x:c r="D21" s="15" t="str">
        <x:v>core.gun</x:v>
      </x:c>
      <x:c r="E21" s="16" t="n">
        <x:v>7</x:v>
      </x:c>
      <x:c r="F21" s="16" t="n">
        <x:v>150</x:v>
      </x:c>
      <x:c r="G21" s="16" t="n">
        <x:v>14</x:v>
      </x:c>
      <x:c r="H21" s="16" t="n">
        <x:v>2</x:v>
      </x:c>
      <x:c r="I21" s="17" t="n">
        <x:v>1</x:v>
      </x:c>
      <x:c r="J21" s="17" t="n">
        <x:v>1</x:v>
      </x:c>
      <x:c r="K21" s="17" t="n">
        <x:v>1</x:v>
      </x:c>
      <x:c r="L21" s="16" t="n">
        <x:v>1</x:v>
      </x:c>
      <x:c r="M21" s="16" t="n">
        <x:v>0</x:v>
      </x:c>
      <x:c r="N21" s="17" t="n">
        <x:v>0.8</x:v>
      </x:c>
      <x:c r="O21" s="17" t="n">
        <x:v>1</x:v>
      </x:c>
      <x:c r="P21" s="17" t="n">
        <x:v>1</x:v>
      </x:c>
      <x:c r="Q21" s="15" t="str"/>
    </x:row>
    <x:row r="22" ht="28" customHeight="1">
      <x:c r="A22" s="14" t="str">
        <x:v>trigger.standard</x:v>
      </x:c>
      <x:c r="B22" s="14" t="str">
        <x:v>Обычный спуск</x:v>
      </x:c>
      <x:c r="C22" s="14" t="str">
        <x:v>Спуск</x:v>
      </x:c>
      <x:c r="D22" s="14" t="str">
        <x:v>all</x:v>
      </x:c>
      <x:c r="E22" s="16" t="n">
        <x:v>1</x:v>
      </x:c>
      <x:c r="F22" s="16" t="n">
        <x:v>0</x:v>
      </x:c>
      <x:c r="G22" s="16" t="n">
        <x:v>0</x:v>
      </x:c>
      <x:c r="H22" s="16" t="n">
        <x:v>0</x:v>
      </x:c>
      <x:c r="I22" s="17" t="n">
        <x:v>1</x:v>
      </x:c>
      <x:c r="J22" s="17" t="n">
        <x:v>1</x:v>
      </x:c>
      <x:c r="K22" s="17" t="n">
        <x:v>1</x:v>
      </x:c>
      <x:c r="L22" s="16" t="n">
        <x:v>1</x:v>
      </x:c>
      <x:c r="M22" s="16" t="n">
        <x:v>0</x:v>
      </x:c>
      <x:c r="N22" s="17" t="n">
        <x:v>1</x:v>
      </x:c>
      <x:c r="O22" s="17" t="n">
        <x:v>1</x:v>
      </x:c>
      <x:c r="P22" s="17" t="n">
        <x:v>1</x:v>
      </x:c>
      <x:c r="Q22" s="14" t="str"/>
    </x:row>
    <x:row r="23" ht="28" customHeight="1">
      <x:c r="A23" s="15" t="str">
        <x:v>trigger.burst</x:v>
      </x:c>
      <x:c r="B23" s="15" t="str">
        <x:v>Спуск: очередь 3</x:v>
      </x:c>
      <x:c r="C23" s="15" t="str">
        <x:v>Спуск</x:v>
      </x:c>
      <x:c r="D23" s="15" t="str">
        <x:v>core.gun</x:v>
      </x:c>
      <x:c r="E23" s="16" t="n">
        <x:v>5</x:v>
      </x:c>
      <x:c r="F23" s="16" t="n">
        <x:v>100</x:v>
      </x:c>
      <x:c r="G23" s="16" t="n">
        <x:v>10</x:v>
      </x:c>
      <x:c r="H23" s="16" t="n">
        <x:v>1</x:v>
      </x:c>
      <x:c r="I23" s="17" t="n">
        <x:v>1</x:v>
      </x:c>
      <x:c r="J23" s="17" t="n">
        <x:v>0.45</x:v>
      </x:c>
      <x:c r="K23" s="17" t="n">
        <x:v>1</x:v>
      </x:c>
      <x:c r="L23" s="16" t="n">
        <x:v>1</x:v>
      </x:c>
      <x:c r="M23" s="16" t="n">
        <x:v>3</x:v>
      </x:c>
      <x:c r="N23" s="17" t="n">
        <x:v>2.1</x:v>
      </x:c>
      <x:c r="O23" s="17" t="n">
        <x:v>1</x:v>
      </x:c>
      <x:c r="P23" s="17" t="n">
        <x:v>1</x:v>
      </x:c>
      <x:c r="Q23" s="15" t="str">
        <x:v>Ровно 3 выстрела за цикл. Только штатная обойма.</x:v>
      </x:c>
    </x:row>
  </x:sheetData>
  <x:pageMargins left="0.7" right="0.7" top="0.75" bottom="0.75" header="0.3" footer="0.3"/>
  <x:tableParts count="1">
    <x:tablePart xmlns:r="http://schemas.openxmlformats.org/officeDocument/2006/relationships" r:id="Rd7ec4b1e6f604ab7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6" hidden="0" customWidth="1"/>
    <x:col min="2" max="2" width="35" hidden="0" customWidth="1"/>
    <x:col min="3" max="3" width="26" hidden="0" customWidth="1"/>
    <x:col min="4" max="4" width="42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6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>
      <x:c r="A2" s="2" t="str">
        <x:v>Составные части сооружений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>
      <x:c r="A3" s="3" t="str">
        <x:v>Ремонт: HP/с. Генератор: штрихи за пережитую волну. Значения не являются уроном.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46" customHeight="1">
      <x:c r="A5" s="8" t="str">
        <x:v>ID</x:v>
      </x:c>
      <x:c r="B5" s="8" t="str">
        <x:v>Деталь</x:v>
      </x:c>
      <x:c r="C5" s="8" t="str">
        <x:v>Категория</x:v>
      </x:c>
      <x:c r="D5" s="8" t="str">
        <x:v>Семейство</x:v>
      </x:c>
      <x:c r="E5" s="8" t="str">
        <x:v>Уровень</x:v>
      </x:c>
      <x:c r="F5" s="8" t="str">
        <x:v>Открытие, зол.</x:v>
      </x:c>
      <x:c r="G5" s="8" t="str">
        <x:v>Цена, штр.</x:v>
      </x:c>
      <x:c r="H5" s="8" t="str">
        <x:v>Нагрузка</x:v>
      </x:c>
      <x:c r="I5" s="8" t="str">
        <x:v>Вместимость</x:v>
      </x:c>
      <x:c r="J5" s="8" t="str">
        <x:v>Базовые HP</x:v>
      </x:c>
      <x:c r="K5" s="8" t="str">
        <x:v>HP ×</x:v>
      </x:c>
      <x:c r="L5" s="8" t="str">
        <x:v>Радиус, кл.</x:v>
      </x:c>
      <x:c r="M5" s="8" t="str">
        <x:v>Радиус ×</x:v>
      </x:c>
      <x:c r="N5" s="8" t="str">
        <x:v>HP/с или штр./волну</x:v>
      </x:c>
      <x:c r="O5" s="8" t="str">
        <x:v>Выработка ×</x:v>
      </x:c>
      <x:c r="P5" s="8" t="str">
        <x:v>Скорость цели ×</x:v>
      </x:c>
      <x:c r="Q5" s="8" t="str">
        <x:v>Защита</x:v>
      </x:c>
      <x:c r="R5" s="8" t="str">
        <x:v>Сборка, с</x:v>
      </x:c>
      <x:c r="S5" s="8" t="str">
        <x:v>Правило</x:v>
      </x:c>
    </x:row>
    <x:row r="6" ht="28" customHeight="1">
      <x:c r="A6" s="14" t="str">
        <x:v>site.wall</x:v>
      </x:c>
      <x:c r="B6" s="14" t="str">
        <x:v>Опора баррикады</x:v>
      </x:c>
      <x:c r="C6" s="14" t="str">
        <x:v>Основание</x:v>
      </x:c>
      <x:c r="D6" s="14" t="str">
        <x:v>wall</x:v>
      </x:c>
      <x:c r="E6" s="16" t="n">
        <x:v>1</x:v>
      </x:c>
      <x:c r="F6" s="16" t="n">
        <x:v>0</x:v>
      </x:c>
      <x:c r="G6" s="16" t="n">
        <x:v>8</x:v>
      </x:c>
      <x:c r="H6" s="16" t="n">
        <x:v>0</x:v>
      </x:c>
      <x:c r="I6" s="16" t="n">
        <x:v>6</x:v>
      </x:c>
      <x:c r="J6" s="16" t="n">
        <x:v>200</x:v>
      </x:c>
      <x:c r="K6" s="17" t="n">
        <x:v>1</x:v>
      </x:c>
      <x:c r="L6" s="16" t="n">
        <x:v>0</x:v>
      </x:c>
      <x:c r="M6" s="17" t="n">
        <x:v>1</x:v>
      </x:c>
      <x:c r="N6" s="16" t="n">
        <x:v>0</x:v>
      </x:c>
      <x:c r="O6" s="17" t="n">
        <x:v>1</x:v>
      </x:c>
      <x:c r="P6" s="17" t="n">
        <x:v>1</x:v>
      </x:c>
      <x:c r="Q6" s="17" t="n">
        <x:v>0</x:v>
      </x:c>
      <x:c r="R6" s="17" t="n">
        <x:v>0.15</x:v>
      </x:c>
      <x:c r="S6" s="14" t="str"/>
    </x:row>
    <x:row r="7" ht="28" customHeight="1">
      <x:c r="A7" s="15" t="str">
        <x:v>site.slow</x:v>
      </x:c>
      <x:c r="B7" s="15" t="str">
        <x:v>Поддон замедлителя</x:v>
      </x:c>
      <x:c r="C7" s="15" t="str">
        <x:v>Основание</x:v>
      </x:c>
      <x:c r="D7" s="15" t="str">
        <x:v>slow</x:v>
      </x:c>
      <x:c r="E7" s="16" t="n">
        <x:v>1</x:v>
      </x:c>
      <x:c r="F7" s="16" t="n">
        <x:v>0</x:v>
      </x:c>
      <x:c r="G7" s="16" t="n">
        <x:v>10</x:v>
      </x:c>
      <x:c r="H7" s="16" t="n">
        <x:v>0</x:v>
      </x:c>
      <x:c r="I7" s="16" t="n">
        <x:v>6</x:v>
      </x:c>
      <x:c r="J7" s="16" t="n">
        <x:v>55</x:v>
      </x:c>
      <x:c r="K7" s="17" t="n">
        <x:v>1</x:v>
      </x:c>
      <x:c r="L7" s="16" t="n">
        <x:v>0</x:v>
      </x:c>
      <x:c r="M7" s="17" t="n">
        <x:v>1</x:v>
      </x:c>
      <x:c r="N7" s="16" t="n">
        <x:v>0</x:v>
      </x:c>
      <x:c r="O7" s="17" t="n">
        <x:v>1</x:v>
      </x:c>
      <x:c r="P7" s="17" t="n">
        <x:v>1</x:v>
      </x:c>
      <x:c r="Q7" s="17" t="n">
        <x:v>0</x:v>
      </x:c>
      <x:c r="R7" s="17" t="n">
        <x:v>0.3</x:v>
      </x:c>
      <x:c r="S7" s="15" t="str"/>
    </x:row>
    <x:row r="8" ht="28" customHeight="1">
      <x:c r="A8" s="14" t="str">
        <x:v>site.repair</x:v>
      </x:c>
      <x:c r="B8" s="14" t="str">
        <x:v>Фундамент мастерской</x:v>
      </x:c>
      <x:c r="C8" s="14" t="str">
        <x:v>Основание</x:v>
      </x:c>
      <x:c r="D8" s="14" t="str">
        <x:v>repair</x:v>
      </x:c>
      <x:c r="E8" s="16" t="n">
        <x:v>1</x:v>
      </x:c>
      <x:c r="F8" s="16" t="n">
        <x:v>0</x:v>
      </x:c>
      <x:c r="G8" s="16" t="n">
        <x:v>20</x:v>
      </x:c>
      <x:c r="H8" s="16" t="n">
        <x:v>0</x:v>
      </x:c>
      <x:c r="I8" s="16" t="n">
        <x:v>6</x:v>
      </x:c>
      <x:c r="J8" s="16" t="n">
        <x:v>70</x:v>
      </x:c>
      <x:c r="K8" s="17" t="n">
        <x:v>1</x:v>
      </x:c>
      <x:c r="L8" s="16" t="n">
        <x:v>0</x:v>
      </x:c>
      <x:c r="M8" s="17" t="n">
        <x:v>1</x:v>
      </x:c>
      <x:c r="N8" s="16" t="n">
        <x:v>0</x:v>
      </x:c>
      <x:c r="O8" s="17" t="n">
        <x:v>1</x:v>
      </x:c>
      <x:c r="P8" s="17" t="n">
        <x:v>1</x:v>
      </x:c>
      <x:c r="Q8" s="17" t="n">
        <x:v>0</x:v>
      </x:c>
      <x:c r="R8" s="17" t="n">
        <x:v>0.7</x:v>
      </x:c>
      <x:c r="S8" s="14" t="str"/>
    </x:row>
    <x:row r="9" ht="28" customHeight="1">
      <x:c r="A9" s="15" t="str">
        <x:v>site.generator</x:v>
      </x:c>
      <x:c r="B9" s="15" t="str">
        <x:v>Фундамент насоса</x:v>
      </x:c>
      <x:c r="C9" s="15" t="str">
        <x:v>Основание</x:v>
      </x:c>
      <x:c r="D9" s="15" t="str">
        <x:v>generator</x:v>
      </x:c>
      <x:c r="E9" s="16" t="n">
        <x:v>1</x:v>
      </x:c>
      <x:c r="F9" s="16" t="n">
        <x:v>0</x:v>
      </x:c>
      <x:c r="G9" s="16" t="n">
        <x:v>20</x:v>
      </x:c>
      <x:c r="H9" s="16" t="n">
        <x:v>0</x:v>
      </x:c>
      <x:c r="I9" s="16" t="n">
        <x:v>6</x:v>
      </x:c>
      <x:c r="J9" s="16" t="n">
        <x:v>80</x:v>
      </x:c>
      <x:c r="K9" s="17" t="n">
        <x:v>1</x:v>
      </x:c>
      <x:c r="L9" s="16" t="n">
        <x:v>0</x:v>
      </x:c>
      <x:c r="M9" s="17" t="n">
        <x:v>1</x:v>
      </x:c>
      <x:c r="N9" s="16" t="n">
        <x:v>0</x:v>
      </x:c>
      <x:c r="O9" s="17" t="n">
        <x:v>1</x:v>
      </x:c>
      <x:c r="P9" s="17" t="n">
        <x:v>1</x:v>
      </x:c>
      <x:c r="Q9" s="17" t="n">
        <x:v>0</x:v>
      </x:c>
      <x:c r="R9" s="17" t="n">
        <x:v>0.7</x:v>
      </x:c>
      <x:c r="S9" s="15" t="str"/>
    </x:row>
    <x:row r="10" ht="28" customHeight="1">
      <x:c r="A10" s="14" t="str">
        <x:v>function.wall</x:v>
      </x:c>
      <x:c r="B10" s="14" t="str">
        <x:v>Секция заграждения</x:v>
      </x:c>
      <x:c r="C10" s="14" t="str">
        <x:v>Функция</x:v>
      </x:c>
      <x:c r="D10" s="14" t="str">
        <x:v>wall</x:v>
      </x:c>
      <x:c r="E10" s="16" t="n">
        <x:v>1</x:v>
      </x:c>
      <x:c r="F10" s="16" t="n">
        <x:v>0</x:v>
      </x:c>
      <x:c r="G10" s="16" t="n">
        <x:v>8</x:v>
      </x:c>
      <x:c r="H10" s="16" t="n">
        <x:v>2</x:v>
      </x:c>
      <x:c r="I10" s="16" t="n">
        <x:v>0</x:v>
      </x:c>
      <x:c r="J10" s="16" t="n">
        <x:v>0</x:v>
      </x:c>
      <x:c r="K10" s="17" t="n">
        <x:v>1</x:v>
      </x:c>
      <x:c r="L10" s="16" t="n">
        <x:v>0</x:v>
      </x:c>
      <x:c r="M10" s="17" t="n">
        <x:v>1</x:v>
      </x:c>
      <x:c r="N10" s="16" t="n">
        <x:v>0</x:v>
      </x:c>
      <x:c r="O10" s="17" t="n">
        <x:v>1</x:v>
      </x:c>
      <x:c r="P10" s="17" t="n">
        <x:v>1</x:v>
      </x:c>
      <x:c r="Q10" s="17" t="n">
        <x:v>0</x:v>
      </x:c>
      <x:c r="R10" s="17" t="n">
        <x:v>0.2</x:v>
      </x:c>
      <x:c r="S10" s="14" t="str">
        <x:v>Блокирует путь; враги могут разрушить.</x:v>
      </x:c>
    </x:row>
    <x:row r="11" ht="28" customHeight="1">
      <x:c r="A11" s="15" t="str">
        <x:v>function.slow</x:v>
      </x:c>
      <x:c r="B11" s="15" t="str">
        <x:v>Чернильный состав</x:v>
      </x:c>
      <x:c r="C11" s="15" t="str">
        <x:v>Функция</x:v>
      </x:c>
      <x:c r="D11" s="15" t="str">
        <x:v>slow</x:v>
      </x:c>
      <x:c r="E11" s="16" t="n">
        <x:v>1</x:v>
      </x:c>
      <x:c r="F11" s="16" t="n">
        <x:v>0</x:v>
      </x:c>
      <x:c r="G11" s="16" t="n">
        <x:v>12</x:v>
      </x:c>
      <x:c r="H11" s="16" t="n">
        <x:v>2</x:v>
      </x:c>
      <x:c r="I11" s="16" t="n">
        <x:v>0</x:v>
      </x:c>
      <x:c r="J11" s="16" t="n">
        <x:v>0</x:v>
      </x:c>
      <x:c r="K11" s="17" t="n">
        <x:v>1</x:v>
      </x:c>
      <x:c r="L11" s="16" t="n">
        <x:v>1</x:v>
      </x:c>
      <x:c r="M11" s="17" t="n">
        <x:v>1</x:v>
      </x:c>
      <x:c r="N11" s="16" t="n">
        <x:v>0</x:v>
      </x:c>
      <x:c r="O11" s="17" t="n">
        <x:v>1</x:v>
      </x:c>
      <x:c r="P11" s="17" t="n">
        <x:v>0.6</x:v>
      </x:c>
      <x:c r="Q11" s="17" t="n">
        <x:v>0</x:v>
      </x:c>
      <x:c r="R11" s="17" t="n">
        <x:v>0.5</x:v>
      </x:c>
      <x:c r="S11" s="15" t="str">
        <x:v>Движение ×0,6 в зоне и 0,6 с после выхода. Не складывается.</x:v>
      </x:c>
    </x:row>
    <x:row r="12" ht="28" customHeight="1">
      <x:c r="A12" s="14" t="str">
        <x:v>function.repair</x:v>
      </x:c>
      <x:c r="B12" s="14" t="str">
        <x:v>Ремонтный набор</x:v>
      </x:c>
      <x:c r="C12" s="14" t="str">
        <x:v>Функция</x:v>
      </x:c>
      <x:c r="D12" s="14" t="str">
        <x:v>repair</x:v>
      </x:c>
      <x:c r="E12" s="16" t="n">
        <x:v>1</x:v>
      </x:c>
      <x:c r="F12" s="16" t="n">
        <x:v>0</x:v>
      </x:c>
      <x:c r="G12" s="16" t="n">
        <x:v>45</x:v>
      </x:c>
      <x:c r="H12" s="16" t="n">
        <x:v>3</x:v>
      </x:c>
      <x:c r="I12" s="16" t="n">
        <x:v>0</x:v>
      </x:c>
      <x:c r="J12" s="16" t="n">
        <x:v>0</x:v>
      </x:c>
      <x:c r="K12" s="17" t="n">
        <x:v>1</x:v>
      </x:c>
      <x:c r="L12" s="16" t="n">
        <x:v>5</x:v>
      </x:c>
      <x:c r="M12" s="17" t="n">
        <x:v>1</x:v>
      </x:c>
      <x:c r="N12" s="16" t="n">
        <x:v>6</x:v>
      </x:c>
      <x:c r="O12" s="17" t="n">
        <x:v>1</x:v>
      </x:c>
      <x:c r="P12" s="17" t="n">
        <x:v>1</x:v>
      </x:c>
      <x:c r="Q12" s="17" t="n">
        <x:v>0</x:v>
      </x:c>
      <x:c r="R12" s="17" t="n">
        <x:v>1.3</x:v>
      </x:c>
      <x:c r="S12" s="14" t="str">
        <x:v>6 HP/с одной ближайшей повреждённой постройке. Без себя и других ремонтных постов.</x:v>
      </x:c>
    </x:row>
    <x:row r="13" ht="28" customHeight="1">
      <x:c r="A13" s="15" t="str">
        <x:v>function.generator</x:v>
      </x:c>
      <x:c r="B13" s="15" t="str">
        <x:v>Насос штрихов</x:v>
      </x:c>
      <x:c r="C13" s="15" t="str">
        <x:v>Функция</x:v>
      </x:c>
      <x:c r="D13" s="15" t="str">
        <x:v>generator</x:v>
      </x:c>
      <x:c r="E13" s="16" t="n">
        <x:v>1</x:v>
      </x:c>
      <x:c r="F13" s="16" t="n">
        <x:v>0</x:v>
      </x:c>
      <x:c r="G13" s="16" t="n">
        <x:v>40</x:v>
      </x:c>
      <x:c r="H13" s="16" t="n">
        <x:v>3</x:v>
      </x:c>
      <x:c r="I13" s="16" t="n">
        <x:v>0</x:v>
      </x:c>
      <x:c r="J13" s="16" t="n">
        <x:v>0</x:v>
      </x:c>
      <x:c r="K13" s="17" t="n">
        <x:v>1</x:v>
      </x:c>
      <x:c r="L13" s="16" t="n">
        <x:v>0</x:v>
      </x:c>
      <x:c r="M13" s="17" t="n">
        <x:v>1</x:v>
      </x:c>
      <x:c r="N13" s="16" t="n">
        <x:v>12</x:v>
      </x:c>
      <x:c r="O13" s="17" t="n">
        <x:v>1</x:v>
      </x:c>
      <x:c r="P13" s="17" t="n">
        <x:v>1</x:v>
      </x:c>
      <x:c r="Q13" s="17" t="n">
        <x:v>0</x:v>
      </x:c>
      <x:c r="R13" s="17" t="n">
        <x:v>1.5</x:v>
      </x:c>
      <x:c r="S13" s="15" t="str">
        <x:v>12 штрихов за пережитую волну; не золото. Максимум 2 насоса на поле.</x:v>
      </x:c>
    </x:row>
    <x:row r="14" ht="28" customHeight="1">
      <x:c r="A14" s="14" t="str">
        <x:v>shell.standard</x:v>
      </x:c>
      <x:c r="B14" s="14" t="str">
        <x:v>Обычная оболочка</x:v>
      </x:c>
      <x:c r="C14" s="14" t="str">
        <x:v>Оболочка</x:v>
      </x:c>
      <x:c r="D14" s="14" t="str">
        <x:v>all</x:v>
      </x:c>
      <x:c r="E14" s="16" t="n">
        <x:v>1</x:v>
      </x:c>
      <x:c r="F14" s="16" t="n">
        <x:v>0</x:v>
      </x:c>
      <x:c r="G14" s="16" t="n">
        <x:v>0</x:v>
      </x:c>
      <x:c r="H14" s="16" t="n">
        <x:v>0</x:v>
      </x:c>
      <x:c r="I14" s="16" t="n">
        <x:v>0</x:v>
      </x:c>
      <x:c r="J14" s="16" t="n">
        <x:v>0</x:v>
      </x:c>
      <x:c r="K14" s="17" t="n">
        <x:v>1</x:v>
      </x:c>
      <x:c r="L14" s="16" t="n">
        <x:v>0</x:v>
      </x:c>
      <x:c r="M14" s="17" t="n">
        <x:v>1</x:v>
      </x:c>
      <x:c r="N14" s="16" t="n">
        <x:v>0</x:v>
      </x:c>
      <x:c r="O14" s="17" t="n">
        <x:v>1</x:v>
      </x:c>
      <x:c r="P14" s="17" t="n">
        <x:v>1</x:v>
      </x:c>
      <x:c r="Q14" s="17" t="n">
        <x:v>0</x:v>
      </x:c>
      <x:c r="R14" s="17" t="n">
        <x:v>0</x:v>
      </x:c>
      <x:c r="S14" s="14" t="str"/>
    </x:row>
    <x:row r="15" ht="28" customHeight="1">
      <x:c r="A15" s="15" t="str">
        <x:v>shell.light</x:v>
      </x:c>
      <x:c r="B15" s="15" t="str">
        <x:v>Лёгкая оболочка</x:v>
      </x:c>
      <x:c r="C15" s="15" t="str">
        <x:v>Оболочка</x:v>
      </x:c>
      <x:c r="D15" s="15" t="str">
        <x:v>all</x:v>
      </x:c>
      <x:c r="E15" s="16" t="n">
        <x:v>2</x:v>
      </x:c>
      <x:c r="F15" s="16" t="n">
        <x:v>35</x:v>
      </x:c>
      <x:c r="G15" s="16" t="n">
        <x:v>-4</x:v>
      </x:c>
      <x:c r="H15" s="16" t="n">
        <x:v>0</x:v>
      </x:c>
      <x:c r="I15" s="16" t="n">
        <x:v>0</x:v>
      </x:c>
      <x:c r="J15" s="16" t="n">
        <x:v>0</x:v>
      </x:c>
      <x:c r="K15" s="17" t="n">
        <x:v>0.75</x:v>
      </x:c>
      <x:c r="L15" s="16" t="n">
        <x:v>0</x:v>
      </x:c>
      <x:c r="M15" s="17" t="n">
        <x:v>1</x:v>
      </x:c>
      <x:c r="N15" s="16" t="n">
        <x:v>0</x:v>
      </x:c>
      <x:c r="O15" s="17" t="n">
        <x:v>1</x:v>
      </x:c>
      <x:c r="P15" s="17" t="n">
        <x:v>1</x:v>
      </x:c>
      <x:c r="Q15" s="17" t="n">
        <x:v>0</x:v>
      </x:c>
      <x:c r="R15" s="17" t="n">
        <x:v>-0.1</x:v>
      </x:c>
      <x:c r="S15" s="15" t="str"/>
    </x:row>
    <x:row r="16" ht="28" customHeight="1">
      <x:c r="A16" s="14" t="str">
        <x:v>shell.reinforced</x:v>
      </x:c>
      <x:c r="B16" s="14" t="str">
        <x:v>Усиленная оболочка</x:v>
      </x:c>
      <x:c r="C16" s="14" t="str">
        <x:v>Оболочка</x:v>
      </x:c>
      <x:c r="D16" s="14" t="str">
        <x:v>all</x:v>
      </x:c>
      <x:c r="E16" s="16" t="n">
        <x:v>4</x:v>
      </x:c>
      <x:c r="F16" s="16" t="n">
        <x:v>70</x:v>
      </x:c>
      <x:c r="G16" s="16" t="n">
        <x:v>10</x:v>
      </x:c>
      <x:c r="H16" s="16" t="n">
        <x:v>1</x:v>
      </x:c>
      <x:c r="I16" s="16" t="n">
        <x:v>0</x:v>
      </x:c>
      <x:c r="J16" s="16" t="n">
        <x:v>0</x:v>
      </x:c>
      <x:c r="K16" s="17" t="n">
        <x:v>1.5</x:v>
      </x:c>
      <x:c r="L16" s="16" t="n">
        <x:v>0</x:v>
      </x:c>
      <x:c r="M16" s="17" t="n">
        <x:v>1</x:v>
      </x:c>
      <x:c r="N16" s="16" t="n">
        <x:v>0</x:v>
      </x:c>
      <x:c r="O16" s="17" t="n">
        <x:v>1</x:v>
      </x:c>
      <x:c r="P16" s="17" t="n">
        <x:v>1</x:v>
      </x:c>
      <x:c r="Q16" s="17" t="n">
        <x:v>0</x:v>
      </x:c>
      <x:c r="R16" s="17" t="n">
        <x:v>0.3</x:v>
      </x:c>
      <x:c r="S16" s="14" t="str"/>
    </x:row>
    <x:row r="17" ht="28" customHeight="1">
      <x:c r="A17" s="15" t="str">
        <x:v>utility.none</x:v>
      </x:c>
      <x:c r="B17" s="15" t="str">
        <x:v>Без оснащения</x:v>
      </x:c>
      <x:c r="C17" s="15" t="str">
        <x:v>Оснащение</x:v>
      </x:c>
      <x:c r="D17" s="15" t="str">
        <x:v>all</x:v>
      </x:c>
      <x:c r="E17" s="16" t="n">
        <x:v>1</x:v>
      </x:c>
      <x:c r="F17" s="16" t="n">
        <x:v>0</x:v>
      </x:c>
      <x:c r="G17" s="16" t="n">
        <x:v>0</x:v>
      </x:c>
      <x:c r="H17" s="16" t="n">
        <x:v>0</x:v>
      </x:c>
      <x:c r="I17" s="16" t="n">
        <x:v>0</x:v>
      </x:c>
      <x:c r="J17" s="16" t="n">
        <x:v>0</x:v>
      </x:c>
      <x:c r="K17" s="17" t="n">
        <x:v>1</x:v>
      </x:c>
      <x:c r="L17" s="16" t="n">
        <x:v>0</x:v>
      </x:c>
      <x:c r="M17" s="17" t="n">
        <x:v>1</x:v>
      </x:c>
      <x:c r="N17" s="16" t="n">
        <x:v>0</x:v>
      </x:c>
      <x:c r="O17" s="17" t="n">
        <x:v>1</x:v>
      </x:c>
      <x:c r="P17" s="17" t="n">
        <x:v>1</x:v>
      </x:c>
      <x:c r="Q17" s="17" t="n">
        <x:v>0</x:v>
      </x:c>
      <x:c r="R17" s="17" t="n">
        <x:v>0</x:v>
      </x:c>
      <x:c r="S17" s="15" t="str"/>
    </x:row>
    <x:row r="18" ht="28" customHeight="1">
      <x:c r="A18" s="14" t="str">
        <x:v>utility.armor</x:v>
      </x:c>
      <x:c r="B18" s="14" t="str">
        <x:v>Защитные панели</x:v>
      </x:c>
      <x:c r="C18" s="14" t="str">
        <x:v>Оснащение</x:v>
      </x:c>
      <x:c r="D18" s="14" t="str">
        <x:v>wall,repair,generator</x:v>
      </x:c>
      <x:c r="E18" s="16" t="n">
        <x:v>3</x:v>
      </x:c>
      <x:c r="F18" s="16" t="n">
        <x:v>60</x:v>
      </x:c>
      <x:c r="G18" s="16" t="n">
        <x:v>12</x:v>
      </x:c>
      <x:c r="H18" s="16" t="n">
        <x:v>2</x:v>
      </x:c>
      <x:c r="I18" s="16" t="n">
        <x:v>0</x:v>
      </x:c>
      <x:c r="J18" s="16" t="n">
        <x:v>0</x:v>
      </x:c>
      <x:c r="K18" s="17" t="n">
        <x:v>1</x:v>
      </x:c>
      <x:c r="L18" s="16" t="n">
        <x:v>0</x:v>
      </x:c>
      <x:c r="M18" s="17" t="n">
        <x:v>1</x:v>
      </x:c>
      <x:c r="N18" s="16" t="n">
        <x:v>0</x:v>
      </x:c>
      <x:c r="O18" s="17" t="n">
        <x:v>1</x:v>
      </x:c>
      <x:c r="P18" s="17" t="n">
        <x:v>1</x:v>
      </x:c>
      <x:c r="Q18" s="17" t="n">
        <x:v>0.2</x:v>
      </x:c>
      <x:c r="R18" s="17" t="n">
        <x:v>0</x:v>
      </x:c>
      <x:c r="S18" s="14" t="str"/>
    </x:row>
    <x:row r="19" ht="28" customHeight="1">
      <x:c r="A19" s="15" t="str">
        <x:v>utility.range</x:v>
      </x:c>
      <x:c r="B19" s="15" t="str">
        <x:v>Расширитель зоны</x:v>
      </x:c>
      <x:c r="C19" s="15" t="str">
        <x:v>Оснащение</x:v>
      </x:c>
      <x:c r="D19" s="15" t="str">
        <x:v>repair</x:v>
      </x:c>
      <x:c r="E19" s="16" t="n">
        <x:v>5</x:v>
      </x:c>
      <x:c r="F19" s="16" t="n">
        <x:v>90</x:v>
      </x:c>
      <x:c r="G19" s="16" t="n">
        <x:v>15</x:v>
      </x:c>
      <x:c r="H19" s="16" t="n">
        <x:v>2</x:v>
      </x:c>
      <x:c r="I19" s="16" t="n">
        <x:v>0</x:v>
      </x:c>
      <x:c r="J19" s="16" t="n">
        <x:v>0</x:v>
      </x:c>
      <x:c r="K19" s="17" t="n">
        <x:v>1</x:v>
      </x:c>
      <x:c r="L19" s="16" t="n">
        <x:v>0</x:v>
      </x:c>
      <x:c r="M19" s="17" t="n">
        <x:v>1.3</x:v>
      </x:c>
      <x:c r="N19" s="16" t="n">
        <x:v>0</x:v>
      </x:c>
      <x:c r="O19" s="17" t="n">
        <x:v>0.8</x:v>
      </x:c>
      <x:c r="P19" s="17" t="n">
        <x:v>1</x:v>
      </x:c>
      <x:c r="Q19" s="17" t="n">
        <x:v>0</x:v>
      </x:c>
      <x:c r="R19" s="17" t="n">
        <x:v>0</x:v>
      </x:c>
      <x:c r="S19" s="15" t="str">
        <x:v>Радиус 6,5; ремонт 4,8 HP/с.</x:v>
      </x:c>
    </x:row>
    <x:row r="20" ht="28" customHeight="1">
      <x:c r="A20" s="14" t="str">
        <x:v>utility.economy</x:v>
      </x:c>
      <x:c r="B20" s="14" t="str">
        <x:v>Экономичный насос</x:v>
      </x:c>
      <x:c r="C20" s="14" t="str">
        <x:v>Оснащение</x:v>
      </x:c>
      <x:c r="D20" s="14" t="str">
        <x:v>generator</x:v>
      </x:c>
      <x:c r="E20" s="16" t="n">
        <x:v>8</x:v>
      </x:c>
      <x:c r="F20" s="16" t="n">
        <x:v>180</x:v>
      </x:c>
      <x:c r="G20" s="16" t="n">
        <x:v>12</x:v>
      </x:c>
      <x:c r="H20" s="16" t="n">
        <x:v>2</x:v>
      </x:c>
      <x:c r="I20" s="16" t="n">
        <x:v>0</x:v>
      </x:c>
      <x:c r="J20" s="16" t="n">
        <x:v>0</x:v>
      </x:c>
      <x:c r="K20" s="17" t="n">
        <x:v>0.85</x:v>
      </x:c>
      <x:c r="L20" s="16" t="n">
        <x:v>0</x:v>
      </x:c>
      <x:c r="M20" s="17" t="n">
        <x:v>1</x:v>
      </x:c>
      <x:c r="N20" s="16" t="n">
        <x:v>0</x:v>
      </x:c>
      <x:c r="O20" s="17" t="n">
        <x:v>1.25</x:v>
      </x:c>
      <x:c r="P20" s="17" t="n">
        <x:v>1</x:v>
      </x:c>
      <x:c r="Q20" s="17" t="n">
        <x:v>0</x:v>
      </x:c>
      <x:c r="R20" s="17" t="n">
        <x:v>0</x:v>
      </x:c>
      <x:c r="S20" s="14" t="str">
        <x:v>15 штрихов за волну, прочность ×0,85.</x:v>
      </x:c>
    </x:row>
  </x:sheetData>
  <x:pageMargins left="0.7" right="0.7" top="0.75" bottom="0.75" header="0.3" footer="0.3"/>
  <x:tableParts count="1">
    <x:tablePart xmlns:r="http://schemas.openxmlformats.org/officeDocument/2006/relationships" r:id="Re226348ca9da4e96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9" hidden="0" customWidth="1"/>
    <x:col min="2" max="2" width="34" hidden="0" customWidth="1"/>
    <x:col min="3" max="3" width="34" hidden="0" customWidth="1"/>
    <x:col min="4" max="4" width="17" hidden="0" customWidth="1"/>
    <x:col min="5" max="5" width="17" hidden="0" customWidth="1"/>
    <x:col min="6" max="6" width="17" hidden="0" customWidth="1"/>
    <x:col min="7" max="7" width="31" hidden="0" customWidth="1"/>
  </x:cols>
  <x:sheetData>
    <x:row r="1">
      <x:c r="A1" s="1"/>
      <x:c r="B1" s="1"/>
      <x:c r="C1" s="1"/>
      <x:c r="D1" s="1"/>
      <x:c r="E1" s="1"/>
      <x:c r="F1" s="1"/>
      <x:c r="G1" s="1"/>
    </x:row>
    <x:row r="2">
      <x:c r="A2" s="2" t="str">
        <x:v>Реальные значения основной игры</x:v>
      </x:c>
      <x:c r="B2" s="1"/>
      <x:c r="C2" s="1"/>
      <x:c r="D2" s="1"/>
      <x:c r="E2" s="1"/>
      <x:c r="F2" s="1"/>
      <x:c r="G2" s="1"/>
    </x:row>
    <x:row r="3">
      <x:c r="A3" s="3" t="str">
        <x:v>Исходный снимок Unity. Не заменяется проектными значениями; повторный экспорт выполняется перед реализацией.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46" customHeight="1">
      <x:c r="A5" s="8" t="str">
        <x:v>ID</x:v>
      </x:c>
      <x:c r="B5" s="8" t="str">
        <x:v>Объект</x:v>
      </x:c>
      <x:c r="C5" s="8" t="str">
        <x:v>Параметр</x:v>
      </x:c>
      <x:c r="D5" s="8" t="str">
        <x:v>Значение</x:v>
      </x:c>
      <x:c r="E5" s="8" t="str">
        <x:v>Единица</x:v>
      </x:c>
      <x:c r="F5" s="8" t="str">
        <x:v>Источник</x:v>
      </x:c>
      <x:c r="G5" s="8" t="str">
        <x:v>Снято UTC</x:v>
      </x:c>
    </x:row>
    <x:row r="6" ht="28" customHeight="1">
      <x:c r="A6" s="11" t="str">
        <x:v>chassis.standard</x:v>
      </x:c>
      <x:c r="B6" s="11" t="str">
        <x:v>Обычное основание</x:v>
      </x:c>
      <x:c r="C6" s="11" t="str">
        <x:v>Capacity</x:v>
      </x:c>
      <x:c r="D6" s="11" t="n">
        <x:v>10</x:v>
      </x:c>
      <x:c r="E6" s="11" t="str"/>
      <x:c r="F6" s="11" t="str">
        <x:v>Unity runtime export</x:v>
      </x:c>
      <x:c r="G6" s="20" t="d">
        <x:v>2026-10-17T20:54:48.815Z</x:v>
      </x:c>
    </x:row>
    <x:row r="7" ht="28" customHeight="1">
      <x:c r="A7" s="10" t="str">
        <x:v>chassis.standard</x:v>
      </x:c>
      <x:c r="B7" s="10" t="str">
        <x:v>Обычное основание</x:v>
      </x:c>
      <x:c r="C7" s="10" t="str">
        <x:v>BaseCost</x:v>
      </x:c>
      <x:c r="D7" s="10" t="n">
        <x:v>16</x:v>
      </x:c>
      <x:c r="E7" s="10" t="str"/>
      <x:c r="F7" s="10" t="str">
        <x:v>Unity runtime export</x:v>
      </x:c>
      <x:c r="G7" s="21" t="d">
        <x:v>2026-10-17T20:54:48.815Z</x:v>
      </x:c>
    </x:row>
    <x:row r="8" ht="28" customHeight="1">
      <x:c r="A8" s="11" t="str">
        <x:v>chassis.standard</x:v>
      </x:c>
      <x:c r="B8" s="11" t="str">
        <x:v>Обычное основание</x:v>
      </x:c>
      <x:c r="C8" s="11" t="str">
        <x:v>BaseHealth</x:v>
      </x:c>
      <x:c r="D8" s="11" t="n">
        <x:v>55</x:v>
      </x:c>
      <x:c r="E8" s="11" t="str"/>
      <x:c r="F8" s="11" t="str">
        <x:v>Unity runtime export</x:v>
      </x:c>
      <x:c r="G8" s="20" t="d">
        <x:v>2026-10-17T20:54:48.815Z</x:v>
      </x:c>
    </x:row>
    <x:row r="9" ht="28" customHeight="1">
      <x:c r="A9" s="10" t="str">
        <x:v>chassis.standard</x:v>
      </x:c>
      <x:c r="B9" s="10" t="str">
        <x:v>Обычное основание</x:v>
      </x:c>
      <x:c r="C9" s="10" t="str">
        <x:v>HealthMultiplier</x:v>
      </x:c>
      <x:c r="D9" s="10" t="n">
        <x:v>1</x:v>
      </x:c>
      <x:c r="E9" s="10" t="str"/>
      <x:c r="F9" s="10" t="str">
        <x:v>Unity runtime export</x:v>
      </x:c>
      <x:c r="G9" s="21" t="d">
        <x:v>2026-10-17T20:54:48.815Z</x:v>
      </x:c>
    </x:row>
    <x:row r="10" ht="28" customHeight="1">
      <x:c r="A10" s="11" t="str">
        <x:v>chassis.standard</x:v>
      </x:c>
      <x:c r="B10" s="11" t="str">
        <x:v>Обычное основание</x:v>
      </x:c>
      <x:c r="C10" s="11" t="str">
        <x:v>MountCount</x:v>
      </x:c>
      <x:c r="D10" s="11" t="n">
        <x:v>2</x:v>
      </x:c>
      <x:c r="E10" s="11" t="str"/>
      <x:c r="F10" s="11" t="str">
        <x:v>Unity runtime export</x:v>
      </x:c>
      <x:c r="G10" s="20" t="d">
        <x:v>2026-10-17T20:54:48.815Z</x:v>
      </x:c>
    </x:row>
    <x:row r="11" ht="28" customHeight="1">
      <x:c r="A11" s="10" t="str">
        <x:v>chassis.standard</x:v>
      </x:c>
      <x:c r="B11" s="10" t="str">
        <x:v>Обычное основание</x:v>
      </x:c>
      <x:c r="C11" s="10" t="str">
        <x:v>FeedCapacity</x:v>
      </x:c>
      <x:c r="D11" s="10" t="n">
        <x:v>1.6</x:v>
      </x:c>
      <x:c r="E11" s="10" t="str"/>
      <x:c r="F11" s="10" t="str">
        <x:v>Unity runtime export</x:v>
      </x:c>
      <x:c r="G11" s="21" t="d">
        <x:v>2026-10-17T20:54:48.815Z</x:v>
      </x:c>
    </x:row>
    <x:row r="12" ht="28" customHeight="1">
      <x:c r="A12" s="11" t="str">
        <x:v>chassis.standard</x:v>
      </x:c>
      <x:c r="B12" s="11" t="str">
        <x:v>Обычное основание</x:v>
      </x:c>
      <x:c r="C12" s="11" t="str">
        <x:v>UnlockGold</x:v>
      </x:c>
      <x:c r="D12" s="11" t="n">
        <x:v>0</x:v>
      </x:c>
      <x:c r="E12" s="11" t="str"/>
      <x:c r="F12" s="11" t="str">
        <x:v>Unity runtime export</x:v>
      </x:c>
      <x:c r="G12" s="20" t="d">
        <x:v>2026-10-17T20:54:48.815Z</x:v>
      </x:c>
    </x:row>
    <x:row r="13" ht="28" customHeight="1">
      <x:c r="A13" s="10" t="str">
        <x:v>chassis.heavy</x:v>
      </x:c>
      <x:c r="B13" s="10" t="str">
        <x:v>Тяжёлое основание</x:v>
      </x:c>
      <x:c r="C13" s="10" t="str">
        <x:v>Capacity</x:v>
      </x:c>
      <x:c r="D13" s="10" t="n">
        <x:v>14</x:v>
      </x:c>
      <x:c r="E13" s="10" t="str"/>
      <x:c r="F13" s="10" t="str">
        <x:v>Unity runtime export</x:v>
      </x:c>
      <x:c r="G13" s="21" t="d">
        <x:v>2026-10-17T20:54:48.815Z</x:v>
      </x:c>
    </x:row>
    <x:row r="14" ht="28" customHeight="1">
      <x:c r="A14" s="11" t="str">
        <x:v>chassis.heavy</x:v>
      </x:c>
      <x:c r="B14" s="11" t="str">
        <x:v>Тяжёлое основание</x:v>
      </x:c>
      <x:c r="C14" s="11" t="str">
        <x:v>BaseCost</x:v>
      </x:c>
      <x:c r="D14" s="11" t="n">
        <x:v>26</x:v>
      </x:c>
      <x:c r="E14" s="11" t="str"/>
      <x:c r="F14" s="11" t="str">
        <x:v>Unity runtime export</x:v>
      </x:c>
      <x:c r="G14" s="20" t="d">
        <x:v>2026-10-17T20:54:48.815Z</x:v>
      </x:c>
    </x:row>
    <x:row r="15" ht="28" customHeight="1">
      <x:c r="A15" s="10" t="str">
        <x:v>chassis.heavy</x:v>
      </x:c>
      <x:c r="B15" s="10" t="str">
        <x:v>Тяжёлое основание</x:v>
      </x:c>
      <x:c r="C15" s="10" t="str">
        <x:v>BaseHealth</x:v>
      </x:c>
      <x:c r="D15" s="10" t="n">
        <x:v>55</x:v>
      </x:c>
      <x:c r="E15" s="10" t="str"/>
      <x:c r="F15" s="10" t="str">
        <x:v>Unity runtime export</x:v>
      </x:c>
      <x:c r="G15" s="21" t="d">
        <x:v>2026-10-17T20:54:48.815Z</x:v>
      </x:c>
    </x:row>
    <x:row r="16" ht="28" customHeight="1">
      <x:c r="A16" s="11" t="str">
        <x:v>chassis.heavy</x:v>
      </x:c>
      <x:c r="B16" s="11" t="str">
        <x:v>Тяжёлое основание</x:v>
      </x:c>
      <x:c r="C16" s="11" t="str">
        <x:v>HealthMultiplier</x:v>
      </x:c>
      <x:c r="D16" s="11" t="n">
        <x:v>1.5</x:v>
      </x:c>
      <x:c r="E16" s="11" t="str"/>
      <x:c r="F16" s="11" t="str">
        <x:v>Unity runtime export</x:v>
      </x:c>
      <x:c r="G16" s="20" t="d">
        <x:v>2026-10-17T20:54:48.815Z</x:v>
      </x:c>
    </x:row>
    <x:row r="17" ht="28" customHeight="1">
      <x:c r="A17" s="10" t="str">
        <x:v>chassis.heavy</x:v>
      </x:c>
      <x:c r="B17" s="10" t="str">
        <x:v>Тяжёлое основание</x:v>
      </x:c>
      <x:c r="C17" s="10" t="str">
        <x:v>MountCount</x:v>
      </x:c>
      <x:c r="D17" s="10" t="n">
        <x:v>2</x:v>
      </x:c>
      <x:c r="E17" s="10" t="str"/>
      <x:c r="F17" s="10" t="str">
        <x:v>Unity runtime export</x:v>
      </x:c>
      <x:c r="G17" s="21" t="d">
        <x:v>2026-10-17T20:54:48.815Z</x:v>
      </x:c>
    </x:row>
    <x:row r="18" ht="28" customHeight="1">
      <x:c r="A18" s="11" t="str">
        <x:v>chassis.heavy</x:v>
      </x:c>
      <x:c r="B18" s="11" t="str">
        <x:v>Тяжёлое основание</x:v>
      </x:c>
      <x:c r="C18" s="11" t="str">
        <x:v>FeedCapacity</x:v>
      </x:c>
      <x:c r="D18" s="11" t="n">
        <x:v>1.6</x:v>
      </x:c>
      <x:c r="E18" s="11" t="str"/>
      <x:c r="F18" s="11" t="str">
        <x:v>Unity runtime export</x:v>
      </x:c>
      <x:c r="G18" s="20" t="d">
        <x:v>2026-10-17T20:54:48.815Z</x:v>
      </x:c>
    </x:row>
    <x:row r="19" ht="28" customHeight="1">
      <x:c r="A19" s="10" t="str">
        <x:v>chassis.heavy</x:v>
      </x:c>
      <x:c r="B19" s="10" t="str">
        <x:v>Тяжёлое основание</x:v>
      </x:c>
      <x:c r="C19" s="10" t="str">
        <x:v>UnlockGold</x:v>
      </x:c>
      <x:c r="D19" s="10" t="n">
        <x:v>90</x:v>
      </x:c>
      <x:c r="E19" s="10" t="str"/>
      <x:c r="F19" s="10" t="str">
        <x:v>Unity runtime export</x:v>
      </x:c>
      <x:c r="G19" s="21" t="d">
        <x:v>2026-10-17T20:54:48.815Z</x:v>
      </x:c>
    </x:row>
    <x:row r="20" ht="28" customHeight="1">
      <x:c r="A20" s="11" t="str">
        <x:v>chassis.precision</x:v>
      </x:c>
      <x:c r="B20" s="11" t="str">
        <x:v>Специализированное основание</x:v>
      </x:c>
      <x:c r="C20" s="11" t="str">
        <x:v>Capacity</x:v>
      </x:c>
      <x:c r="D20" s="11" t="n">
        <x:v>16</x:v>
      </x:c>
      <x:c r="E20" s="11" t="str"/>
      <x:c r="F20" s="11" t="str">
        <x:v>Unity runtime export</x:v>
      </x:c>
      <x:c r="G20" s="20" t="d">
        <x:v>2026-10-17T20:54:48.815Z</x:v>
      </x:c>
    </x:row>
    <x:row r="21" ht="28" customHeight="1">
      <x:c r="A21" s="10" t="str">
        <x:v>chassis.precision</x:v>
      </x:c>
      <x:c r="B21" s="10" t="str">
        <x:v>Специализированное основание</x:v>
      </x:c>
      <x:c r="C21" s="10" t="str">
        <x:v>BaseCost</x:v>
      </x:c>
      <x:c r="D21" s="10" t="n">
        <x:v>18</x:v>
      </x:c>
      <x:c r="E21" s="10" t="str"/>
      <x:c r="F21" s="10" t="str">
        <x:v>Unity runtime export</x:v>
      </x:c>
      <x:c r="G21" s="21" t="d">
        <x:v>2026-10-17T20:54:48.815Z</x:v>
      </x:c>
    </x:row>
    <x:row r="22" ht="28" customHeight="1">
      <x:c r="A22" s="11" t="str">
        <x:v>chassis.precision</x:v>
      </x:c>
      <x:c r="B22" s="11" t="str">
        <x:v>Специализированное основание</x:v>
      </x:c>
      <x:c r="C22" s="11" t="str">
        <x:v>BaseHealth</x:v>
      </x:c>
      <x:c r="D22" s="11" t="n">
        <x:v>55</x:v>
      </x:c>
      <x:c r="E22" s="11" t="str"/>
      <x:c r="F22" s="11" t="str">
        <x:v>Unity runtime export</x:v>
      </x:c>
      <x:c r="G22" s="20" t="d">
        <x:v>2026-10-17T20:54:48.815Z</x:v>
      </x:c>
    </x:row>
    <x:row r="23" ht="28" customHeight="1">
      <x:c r="A23" s="10" t="str">
        <x:v>chassis.precision</x:v>
      </x:c>
      <x:c r="B23" s="10" t="str">
        <x:v>Специализированное основание</x:v>
      </x:c>
      <x:c r="C23" s="10" t="str">
        <x:v>HealthMultiplier</x:v>
      </x:c>
      <x:c r="D23" s="10" t="n">
        <x:v>1</x:v>
      </x:c>
      <x:c r="E23" s="10" t="str"/>
      <x:c r="F23" s="10" t="str">
        <x:v>Unity runtime export</x:v>
      </x:c>
      <x:c r="G23" s="21" t="d">
        <x:v>2026-10-17T20:54:48.815Z</x:v>
      </x:c>
    </x:row>
    <x:row r="24" ht="28" customHeight="1">
      <x:c r="A24" s="11" t="str">
        <x:v>chassis.precision</x:v>
      </x:c>
      <x:c r="B24" s="11" t="str">
        <x:v>Специализированное основание</x:v>
      </x:c>
      <x:c r="C24" s="11" t="str">
        <x:v>MountCount</x:v>
      </x:c>
      <x:c r="D24" s="11" t="n">
        <x:v>1</x:v>
      </x:c>
      <x:c r="E24" s="11" t="str"/>
      <x:c r="F24" s="11" t="str">
        <x:v>Unity runtime export</x:v>
      </x:c>
      <x:c r="G24" s="20" t="d">
        <x:v>2026-10-17T20:54:48.815Z</x:v>
      </x:c>
    </x:row>
    <x:row r="25" ht="28" customHeight="1">
      <x:c r="A25" s="10" t="str">
        <x:v>chassis.precision</x:v>
      </x:c>
      <x:c r="B25" s="10" t="str">
        <x:v>Специализированное основание</x:v>
      </x:c>
      <x:c r="C25" s="10" t="str">
        <x:v>FeedCapacity</x:v>
      </x:c>
      <x:c r="D25" s="10" t="n">
        <x:v>1</x:v>
      </x:c>
      <x:c r="E25" s="10" t="str"/>
      <x:c r="F25" s="10" t="str">
        <x:v>Unity runtime export</x:v>
      </x:c>
      <x:c r="G25" s="21" t="d">
        <x:v>2026-10-17T20:54:48.815Z</x:v>
      </x:c>
    </x:row>
    <x:row r="26" ht="28" customHeight="1">
      <x:c r="A26" s="11" t="str">
        <x:v>chassis.precision</x:v>
      </x:c>
      <x:c r="B26" s="11" t="str">
        <x:v>Специализированное основание</x:v>
      </x:c>
      <x:c r="C26" s="11" t="str">
        <x:v>UnlockGold</x:v>
      </x:c>
      <x:c r="D26" s="11" t="n">
        <x:v>90</x:v>
      </x:c>
      <x:c r="E26" s="11" t="str"/>
      <x:c r="F26" s="11" t="str">
        <x:v>Unity runtime export</x:v>
      </x:c>
      <x:c r="G26" s="20" t="d">
        <x:v>2026-10-17T20:54:48.815Z</x:v>
      </x:c>
    </x:row>
    <x:row r="27" ht="28" customHeight="1">
      <x:c r="A27" s="10" t="str">
        <x:v>chassis.battery</x:v>
      </x:c>
      <x:c r="B27" s="10" t="str">
        <x:v>Батарея</x:v>
      </x:c>
      <x:c r="C27" s="10" t="str">
        <x:v>Capacity</x:v>
      </x:c>
      <x:c r="D27" s="10" t="n">
        <x:v>22</x:v>
      </x:c>
      <x:c r="E27" s="10" t="str"/>
      <x:c r="F27" s="10" t="str">
        <x:v>Unity runtime export</x:v>
      </x:c>
      <x:c r="G27" s="21" t="d">
        <x:v>2026-10-17T20:54:48.815Z</x:v>
      </x:c>
    </x:row>
    <x:row r="28" ht="28" customHeight="1">
      <x:c r="A28" s="11" t="str">
        <x:v>chassis.battery</x:v>
      </x:c>
      <x:c r="B28" s="11" t="str">
        <x:v>Батарея</x:v>
      </x:c>
      <x:c r="C28" s="11" t="str">
        <x:v>BaseCost</x:v>
      </x:c>
      <x:c r="D28" s="11" t="n">
        <x:v>28</x:v>
      </x:c>
      <x:c r="E28" s="11" t="str"/>
      <x:c r="F28" s="11" t="str">
        <x:v>Unity runtime export</x:v>
      </x:c>
      <x:c r="G28" s="20" t="d">
        <x:v>2026-10-17T20:54:48.815Z</x:v>
      </x:c>
    </x:row>
    <x:row r="29" ht="28" customHeight="1">
      <x:c r="A29" s="10" t="str">
        <x:v>chassis.battery</x:v>
      </x:c>
      <x:c r="B29" s="10" t="str">
        <x:v>Батарея</x:v>
      </x:c>
      <x:c r="C29" s="10" t="str">
        <x:v>BaseHealth</x:v>
      </x:c>
      <x:c r="D29" s="10" t="n">
        <x:v>55</x:v>
      </x:c>
      <x:c r="E29" s="10" t="str"/>
      <x:c r="F29" s="10" t="str">
        <x:v>Unity runtime export</x:v>
      </x:c>
      <x:c r="G29" s="21" t="d">
        <x:v>2026-10-17T20:54:48.815Z</x:v>
      </x:c>
    </x:row>
    <x:row r="30" ht="28" customHeight="1">
      <x:c r="A30" s="11" t="str">
        <x:v>chassis.battery</x:v>
      </x:c>
      <x:c r="B30" s="11" t="str">
        <x:v>Батарея</x:v>
      </x:c>
      <x:c r="C30" s="11" t="str">
        <x:v>HealthMultiplier</x:v>
      </x:c>
      <x:c r="D30" s="11" t="n">
        <x:v>1.4</x:v>
      </x:c>
      <x:c r="E30" s="11" t="str"/>
      <x:c r="F30" s="11" t="str">
        <x:v>Unity runtime export</x:v>
      </x:c>
      <x:c r="G30" s="20" t="d">
        <x:v>2026-10-17T20:54:48.815Z</x:v>
      </x:c>
    </x:row>
    <x:row r="31" ht="28" customHeight="1">
      <x:c r="A31" s="10" t="str">
        <x:v>chassis.battery</x:v>
      </x:c>
      <x:c r="B31" s="10" t="str">
        <x:v>Батарея</x:v>
      </x:c>
      <x:c r="C31" s="10" t="str">
        <x:v>MountCount</x:v>
      </x:c>
      <x:c r="D31" s="10" t="n">
        <x:v>3</x:v>
      </x:c>
      <x:c r="E31" s="10" t="str"/>
      <x:c r="F31" s="10" t="str">
        <x:v>Unity runtime export</x:v>
      </x:c>
      <x:c r="G31" s="21" t="d">
        <x:v>2026-10-17T20:54:48.815Z</x:v>
      </x:c>
    </x:row>
    <x:row r="32" ht="28" customHeight="1">
      <x:c r="A32" s="11" t="str">
        <x:v>chassis.battery</x:v>
      </x:c>
      <x:c r="B32" s="11" t="str">
        <x:v>Батарея</x:v>
      </x:c>
      <x:c r="C32" s="11" t="str">
        <x:v>FeedCapacity</x:v>
      </x:c>
      <x:c r="D32" s="11" t="n">
        <x:v>2.4</x:v>
      </x:c>
      <x:c r="E32" s="11" t="str"/>
      <x:c r="F32" s="11" t="str">
        <x:v>Unity runtime export</x:v>
      </x:c>
      <x:c r="G32" s="20" t="d">
        <x:v>2026-10-17T20:54:48.815Z</x:v>
      </x:c>
    </x:row>
    <x:row r="33" ht="28" customHeight="1">
      <x:c r="A33" s="10" t="str">
        <x:v>chassis.battery</x:v>
      </x:c>
      <x:c r="B33" s="10" t="str">
        <x:v>Батарея</x:v>
      </x:c>
      <x:c r="C33" s="10" t="str">
        <x:v>UnlockGold</x:v>
      </x:c>
      <x:c r="D33" s="10" t="n">
        <x:v>90</x:v>
      </x:c>
      <x:c r="E33" s="10" t="str"/>
      <x:c r="F33" s="10" t="str">
        <x:v>Unity runtime export</x:v>
      </x:c>
      <x:c r="G33" s="21" t="d">
        <x:v>2026-10-17T20:54:48.815Z</x:v>
      </x:c>
    </x:row>
    <x:row r="34" ht="28" customHeight="1">
      <x:c r="A34" s="11" t="str">
        <x:v>weapon.gun</x:v>
      </x:c>
      <x:c r="B34" s="11" t="str">
        <x:v>Пулемёт</x:v>
      </x:c>
      <x:c r="C34" s="11" t="str">
        <x:v>Load</x:v>
      </x:c>
      <x:c r="D34" s="11" t="n">
        <x:v>4</x:v>
      </x:c>
      <x:c r="E34" s="11" t="str"/>
      <x:c r="F34" s="11" t="str">
        <x:v>Unity runtime export</x:v>
      </x:c>
      <x:c r="G34" s="20" t="d">
        <x:v>2026-10-17T20:54:48.815Z</x:v>
      </x:c>
    </x:row>
    <x:row r="35" ht="28" customHeight="1">
      <x:c r="A35" s="10" t="str">
        <x:v>weapon.gun</x:v>
      </x:c>
      <x:c r="B35" s="10" t="str">
        <x:v>Пулемёт</x:v>
      </x:c>
      <x:c r="C35" s="10" t="str">
        <x:v>AssemblyCredit</x:v>
      </x:c>
      <x:c r="D35" s="10" t="n">
        <x:v>16</x:v>
      </x:c>
      <x:c r="E35" s="10" t="str"/>
      <x:c r="F35" s="10" t="str">
        <x:v>Unity runtime export</x:v>
      </x:c>
      <x:c r="G35" s="21" t="d">
        <x:v>2026-10-17T20:54:48.815Z</x:v>
      </x:c>
    </x:row>
    <x:row r="36" ht="28" customHeight="1">
      <x:c r="A36" s="11" t="str">
        <x:v>weapon.gun</x:v>
      </x:c>
      <x:c r="B36" s="11" t="str">
        <x:v>Пулемёт</x:v>
      </x:c>
      <x:c r="C36" s="11" t="str">
        <x:v>MinimumRange</x:v>
      </x:c>
      <x:c r="D36" s="11" t="n">
        <x:v>0</x:v>
      </x:c>
      <x:c r="E36" s="11" t="str"/>
      <x:c r="F36" s="11" t="str">
        <x:v>Unity runtime export</x:v>
      </x:c>
      <x:c r="G36" s="20" t="d">
        <x:v>2026-10-17T20:54:48.815Z</x:v>
      </x:c>
    </x:row>
    <x:row r="37" ht="28" customHeight="1">
      <x:c r="A37" s="10" t="str">
        <x:v>weapon.gun</x:v>
      </x:c>
      <x:c r="B37" s="10" t="str">
        <x:v>Пулемёт</x:v>
      </x:c>
      <x:c r="C37" s="10" t="str">
        <x:v>UnlockGold</x:v>
      </x:c>
      <x:c r="D37" s="10" t="n">
        <x:v>0</x:v>
      </x:c>
      <x:c r="E37" s="10" t="str"/>
      <x:c r="F37" s="10" t="str">
        <x:v>Unity runtime export</x:v>
      </x:c>
      <x:c r="G37" s="21" t="d">
        <x:v>2026-10-17T20:54:48.815Z</x:v>
      </x:c>
    </x:row>
    <x:row r="38" ht="28" customHeight="1">
      <x:c r="A38" s="11" t="str">
        <x:v>weapon.gun</x:v>
      </x:c>
      <x:c r="B38" s="11" t="str">
        <x:v>Пулемёт</x:v>
      </x:c>
      <x:c r="C38" s="11" t="str">
        <x:v>Stats.Cost</x:v>
      </x:c>
      <x:c r="D38" s="11" t="n">
        <x:v>40</x:v>
      </x:c>
      <x:c r="E38" s="11" t="str"/>
      <x:c r="F38" s="11" t="str">
        <x:v>Unity runtime export</x:v>
      </x:c>
      <x:c r="G38" s="20" t="d">
        <x:v>2026-10-17T20:54:48.815Z</x:v>
      </x:c>
    </x:row>
    <x:row r="39" ht="28" customHeight="1">
      <x:c r="A39" s="10" t="str">
        <x:v>weapon.gun</x:v>
      </x:c>
      <x:c r="B39" s="10" t="str">
        <x:v>Пулемёт</x:v>
      </x:c>
      <x:c r="C39" s="10" t="str">
        <x:v>Stats.Damage</x:v>
      </x:c>
      <x:c r="D39" s="10" t="n">
        <x:v>12</x:v>
      </x:c>
      <x:c r="E39" s="10" t="str"/>
      <x:c r="F39" s="10" t="str">
        <x:v>Unity runtime export</x:v>
      </x:c>
      <x:c r="G39" s="21" t="d">
        <x:v>2026-10-17T20:54:48.815Z</x:v>
      </x:c>
    </x:row>
    <x:row r="40" ht="28" customHeight="1">
      <x:c r="A40" s="11" t="str">
        <x:v>weapon.gun</x:v>
      </x:c>
      <x:c r="B40" s="11" t="str">
        <x:v>Пулемёт</x:v>
      </x:c>
      <x:c r="C40" s="11" t="str">
        <x:v>Stats.ShotInterval</x:v>
      </x:c>
      <x:c r="D40" s="11" t="n">
        <x:v>0.42</x:v>
      </x:c>
      <x:c r="E40" s="11" t="str"/>
      <x:c r="F40" s="11" t="str">
        <x:v>Unity runtime export</x:v>
      </x:c>
      <x:c r="G40" s="20" t="d">
        <x:v>2026-10-17T20:54:48.815Z</x:v>
      </x:c>
    </x:row>
    <x:row r="41" ht="28" customHeight="1">
      <x:c r="A41" s="10" t="str">
        <x:v>weapon.gun</x:v>
      </x:c>
      <x:c r="B41" s="10" t="str">
        <x:v>Пулемёт</x:v>
      </x:c>
      <x:c r="C41" s="10" t="str">
        <x:v>Stats.Range</x:v>
      </x:c>
      <x:c r="D41" s="10" t="n">
        <x:v>8</x:v>
      </x:c>
      <x:c r="E41" s="10" t="str"/>
      <x:c r="F41" s="10" t="str">
        <x:v>Unity runtime export</x:v>
      </x:c>
      <x:c r="G41" s="21" t="d">
        <x:v>2026-10-17T20:54:48.815Z</x:v>
      </x:c>
    </x:row>
    <x:row r="42" ht="28" customHeight="1">
      <x:c r="A42" s="11" t="str">
        <x:v>weapon.gun</x:v>
      </x:c>
      <x:c r="B42" s="11" t="str">
        <x:v>Пулемёт</x:v>
      </x:c>
      <x:c r="C42" s="11" t="str">
        <x:v>Stats.Radius</x:v>
      </x:c>
      <x:c r="D42" s="11" t="n">
        <x:v>0.1</x:v>
      </x:c>
      <x:c r="E42" s="11" t="str"/>
      <x:c r="F42" s="11" t="str">
        <x:v>Unity runtime export</x:v>
      </x:c>
      <x:c r="G42" s="20" t="d">
        <x:v>2026-10-17T20:54:48.815Z</x:v>
      </x:c>
    </x:row>
    <x:row r="43" ht="28" customHeight="1">
      <x:c r="A43" s="10" t="str">
        <x:v>weapon.gun</x:v>
      </x:c>
      <x:c r="B43" s="10" t="str">
        <x:v>Пулемёт</x:v>
      </x:c>
      <x:c r="C43" s="10" t="str">
        <x:v>Stats.MaxPierce</x:v>
      </x:c>
      <x:c r="D43" s="10" t="n">
        <x:v>1</x:v>
      </x:c>
      <x:c r="E43" s="10" t="str"/>
      <x:c r="F43" s="10" t="str">
        <x:v>Unity runtime export</x:v>
      </x:c>
      <x:c r="G43" s="21" t="d">
        <x:v>2026-10-17T20:54:48.815Z</x:v>
      </x:c>
    </x:row>
    <x:row r="44" ht="28" customHeight="1">
      <x:c r="A44" s="11" t="str">
        <x:v>weapon.gun</x:v>
      </x:c>
      <x:c r="B44" s="11" t="str">
        <x:v>Пулемёт</x:v>
      </x:c>
      <x:c r="C44" s="11" t="str">
        <x:v>Stats.MaxTargets</x:v>
      </x:c>
      <x:c r="D44" s="11" t="n">
        <x:v>8</x:v>
      </x:c>
      <x:c r="E44" s="11" t="str"/>
      <x:c r="F44" s="11" t="str">
        <x:v>Unity runtime export</x:v>
      </x:c>
      <x:c r="G44" s="20" t="d">
        <x:v>2026-10-17T20:54:48.815Z</x:v>
      </x:c>
    </x:row>
    <x:row r="45" ht="28" customHeight="1">
      <x:c r="A45" s="10" t="str">
        <x:v>weapon.piercer</x:v>
      </x:c>
      <x:c r="B45" s="10" t="str">
        <x:v>Пробивающая пушка</x:v>
      </x:c>
      <x:c r="C45" s="10" t="str">
        <x:v>Load</x:v>
      </x:c>
      <x:c r="D45" s="10" t="n">
        <x:v>6</x:v>
      </x:c>
      <x:c r="E45" s="10" t="str"/>
      <x:c r="F45" s="10" t="str">
        <x:v>Unity runtime export</x:v>
      </x:c>
      <x:c r="G45" s="21" t="d">
        <x:v>2026-10-17T20:54:48.815Z</x:v>
      </x:c>
    </x:row>
    <x:row r="46" ht="28" customHeight="1">
      <x:c r="A46" s="11" t="str">
        <x:v>weapon.piercer</x:v>
      </x:c>
      <x:c r="B46" s="11" t="str">
        <x:v>Пробивающая пушка</x:v>
      </x:c>
      <x:c r="C46" s="11" t="str">
        <x:v>AssemblyCredit</x:v>
      </x:c>
      <x:c r="D46" s="11" t="n">
        <x:v>16</x:v>
      </x:c>
      <x:c r="E46" s="11" t="str"/>
      <x:c r="F46" s="11" t="str">
        <x:v>Unity runtime export</x:v>
      </x:c>
      <x:c r="G46" s="20" t="d">
        <x:v>2026-10-17T20:54:48.815Z</x:v>
      </x:c>
    </x:row>
    <x:row r="47" ht="28" customHeight="1">
      <x:c r="A47" s="10" t="str">
        <x:v>weapon.piercer</x:v>
      </x:c>
      <x:c r="B47" s="10" t="str">
        <x:v>Пробивающая пушка</x:v>
      </x:c>
      <x:c r="C47" s="10" t="str">
        <x:v>MinimumRange</x:v>
      </x:c>
      <x:c r="D47" s="10" t="n">
        <x:v>0</x:v>
      </x:c>
      <x:c r="E47" s="10" t="str"/>
      <x:c r="F47" s="10" t="str">
        <x:v>Unity runtime export</x:v>
      </x:c>
      <x:c r="G47" s="21" t="d">
        <x:v>2026-10-17T20:54:48.815Z</x:v>
      </x:c>
    </x:row>
    <x:row r="48" ht="28" customHeight="1">
      <x:c r="A48" s="11" t="str">
        <x:v>weapon.piercer</x:v>
      </x:c>
      <x:c r="B48" s="11" t="str">
        <x:v>Пробивающая пушка</x:v>
      </x:c>
      <x:c r="C48" s="11" t="str">
        <x:v>UnlockGold</x:v>
      </x:c>
      <x:c r="D48" s="11" t="n">
        <x:v>0</x:v>
      </x:c>
      <x:c r="E48" s="11" t="str"/>
      <x:c r="F48" s="11" t="str">
        <x:v>Unity runtime export</x:v>
      </x:c>
      <x:c r="G48" s="20" t="d">
        <x:v>2026-10-17T20:54:48.815Z</x:v>
      </x:c>
    </x:row>
    <x:row r="49" ht="28" customHeight="1">
      <x:c r="A49" s="10" t="str">
        <x:v>weapon.piercer</x:v>
      </x:c>
      <x:c r="B49" s="10" t="str">
        <x:v>Пробивающая пушка</x:v>
      </x:c>
      <x:c r="C49" s="10" t="str">
        <x:v>Stats.Cost</x:v>
      </x:c>
      <x:c r="D49" s="10" t="n">
        <x:v>60</x:v>
      </x:c>
      <x:c r="E49" s="10" t="str"/>
      <x:c r="F49" s="10" t="str">
        <x:v>Unity runtime export</x:v>
      </x:c>
      <x:c r="G49" s="21" t="d">
        <x:v>2026-10-17T20:54:48.815Z</x:v>
      </x:c>
    </x:row>
    <x:row r="50" ht="28" customHeight="1">
      <x:c r="A50" s="11" t="str">
        <x:v>weapon.piercer</x:v>
      </x:c>
      <x:c r="B50" s="11" t="str">
        <x:v>Пробивающая пушка</x:v>
      </x:c>
      <x:c r="C50" s="11" t="str">
        <x:v>Stats.Damage</x:v>
      </x:c>
      <x:c r="D50" s="11" t="n">
        <x:v>20</x:v>
      </x:c>
      <x:c r="E50" s="11" t="str"/>
      <x:c r="F50" s="11" t="str">
        <x:v>Unity runtime export</x:v>
      </x:c>
      <x:c r="G50" s="20" t="d">
        <x:v>2026-10-17T20:54:48.815Z</x:v>
      </x:c>
    </x:row>
    <x:row r="51" ht="28" customHeight="1">
      <x:c r="A51" s="10" t="str">
        <x:v>weapon.piercer</x:v>
      </x:c>
      <x:c r="B51" s="10" t="str">
        <x:v>Пробивающая пушка</x:v>
      </x:c>
      <x:c r="C51" s="10" t="str">
        <x:v>Stats.ShotInterval</x:v>
      </x:c>
      <x:c r="D51" s="10" t="n">
        <x:v>1</x:v>
      </x:c>
      <x:c r="E51" s="10" t="str"/>
      <x:c r="F51" s="10" t="str">
        <x:v>Unity runtime export</x:v>
      </x:c>
      <x:c r="G51" s="21" t="d">
        <x:v>2026-10-17T20:54:48.815Z</x:v>
      </x:c>
    </x:row>
    <x:row r="52" ht="28" customHeight="1">
      <x:c r="A52" s="11" t="str">
        <x:v>weapon.piercer</x:v>
      </x:c>
      <x:c r="B52" s="11" t="str">
        <x:v>Пробивающая пушка</x:v>
      </x:c>
      <x:c r="C52" s="11" t="str">
        <x:v>Stats.Range</x:v>
      </x:c>
      <x:c r="D52" s="11" t="n">
        <x:v>12.5</x:v>
      </x:c>
      <x:c r="E52" s="11" t="str"/>
      <x:c r="F52" s="11" t="str">
        <x:v>Unity runtime export</x:v>
      </x:c>
      <x:c r="G52" s="20" t="d">
        <x:v>2026-10-17T20:54:48.815Z</x:v>
      </x:c>
    </x:row>
    <x:row r="53" ht="28" customHeight="1">
      <x:c r="A53" s="10" t="str">
        <x:v>weapon.piercer</x:v>
      </x:c>
      <x:c r="B53" s="10" t="str">
        <x:v>Пробивающая пушка</x:v>
      </x:c>
      <x:c r="C53" s="10" t="str">
        <x:v>Stats.Radius</x:v>
      </x:c>
      <x:c r="D53" s="10" t="n">
        <x:v>0.38</x:v>
      </x:c>
      <x:c r="E53" s="10" t="str"/>
      <x:c r="F53" s="10" t="str">
        <x:v>Unity runtime export</x:v>
      </x:c>
      <x:c r="G53" s="21" t="d">
        <x:v>2026-10-17T20:54:48.815Z</x:v>
      </x:c>
    </x:row>
    <x:row r="54" ht="28" customHeight="1">
      <x:c r="A54" s="11" t="str">
        <x:v>weapon.piercer</x:v>
      </x:c>
      <x:c r="B54" s="11" t="str">
        <x:v>Пробивающая пушка</x:v>
      </x:c>
      <x:c r="C54" s="11" t="str">
        <x:v>Stats.MaxPierce</x:v>
      </x:c>
      <x:c r="D54" s="11" t="n">
        <x:v>7</x:v>
      </x:c>
      <x:c r="E54" s="11" t="str"/>
      <x:c r="F54" s="11" t="str">
        <x:v>Unity runtime export</x:v>
      </x:c>
      <x:c r="G54" s="20" t="d">
        <x:v>2026-10-17T20:54:48.815Z</x:v>
      </x:c>
    </x:row>
    <x:row r="55" ht="28" customHeight="1">
      <x:c r="A55" s="10" t="str">
        <x:v>weapon.piercer</x:v>
      </x:c>
      <x:c r="B55" s="10" t="str">
        <x:v>Пробивающая пушка</x:v>
      </x:c>
      <x:c r="C55" s="10" t="str">
        <x:v>Stats.MaxTargets</x:v>
      </x:c>
      <x:c r="D55" s="10" t="n">
        <x:v>8</x:v>
      </x:c>
      <x:c r="E55" s="10" t="str"/>
      <x:c r="F55" s="10" t="str">
        <x:v>Unity runtime export</x:v>
      </x:c>
      <x:c r="G55" s="21" t="d">
        <x:v>2026-10-17T20:54:48.815Z</x:v>
      </x:c>
    </x:row>
    <x:row r="56" ht="28" customHeight="1">
      <x:c r="A56" s="11" t="str">
        <x:v>weapon.mortar</x:v>
      </x:c>
      <x:c r="B56" s="11" t="str">
        <x:v>Мортира</x:v>
      </x:c>
      <x:c r="C56" s="11" t="str">
        <x:v>Load</x:v>
      </x:c>
      <x:c r="D56" s="11" t="n">
        <x:v>7</x:v>
      </x:c>
      <x:c r="E56" s="11" t="str"/>
      <x:c r="F56" s="11" t="str">
        <x:v>Unity runtime export</x:v>
      </x:c>
      <x:c r="G56" s="20" t="d">
        <x:v>2026-10-17T20:54:48.815Z</x:v>
      </x:c>
    </x:row>
    <x:row r="57" ht="28" customHeight="1">
      <x:c r="A57" s="10" t="str">
        <x:v>weapon.mortar</x:v>
      </x:c>
      <x:c r="B57" s="10" t="str">
        <x:v>Мортира</x:v>
      </x:c>
      <x:c r="C57" s="10" t="str">
        <x:v>AssemblyCredit</x:v>
      </x:c>
      <x:c r="D57" s="10" t="n">
        <x:v>16</x:v>
      </x:c>
      <x:c r="E57" s="10" t="str"/>
      <x:c r="F57" s="10" t="str">
        <x:v>Unity runtime export</x:v>
      </x:c>
      <x:c r="G57" s="21" t="d">
        <x:v>2026-10-17T20:54:48.815Z</x:v>
      </x:c>
    </x:row>
    <x:row r="58" ht="28" customHeight="1">
      <x:c r="A58" s="11" t="str">
        <x:v>weapon.mortar</x:v>
      </x:c>
      <x:c r="B58" s="11" t="str">
        <x:v>Мортира</x:v>
      </x:c>
      <x:c r="C58" s="11" t="str">
        <x:v>MinimumRange</x:v>
      </x:c>
      <x:c r="D58" s="11" t="n">
        <x:v>6</x:v>
      </x:c>
      <x:c r="E58" s="11" t="str"/>
      <x:c r="F58" s="11" t="str">
        <x:v>Unity runtime export</x:v>
      </x:c>
      <x:c r="G58" s="20" t="d">
        <x:v>2026-10-17T20:54:48.815Z</x:v>
      </x:c>
    </x:row>
    <x:row r="59" ht="28" customHeight="1">
      <x:c r="A59" s="10" t="str">
        <x:v>weapon.mortar</x:v>
      </x:c>
      <x:c r="B59" s="10" t="str">
        <x:v>Мортира</x:v>
      </x:c>
      <x:c r="C59" s="10" t="str">
        <x:v>UnlockGold</x:v>
      </x:c>
      <x:c r="D59" s="10" t="n">
        <x:v>0</x:v>
      </x:c>
      <x:c r="E59" s="10" t="str"/>
      <x:c r="F59" s="10" t="str">
        <x:v>Unity runtime export</x:v>
      </x:c>
      <x:c r="G59" s="21" t="d">
        <x:v>2026-10-17T20:54:48.815Z</x:v>
      </x:c>
    </x:row>
    <x:row r="60" ht="28" customHeight="1">
      <x:c r="A60" s="11" t="str">
        <x:v>weapon.mortar</x:v>
      </x:c>
      <x:c r="B60" s="11" t="str">
        <x:v>Мортира</x:v>
      </x:c>
      <x:c r="C60" s="11" t="str">
        <x:v>Stats.Cost</x:v>
      </x:c>
      <x:c r="D60" s="11" t="n">
        <x:v>85</x:v>
      </x:c>
      <x:c r="E60" s="11" t="str"/>
      <x:c r="F60" s="11" t="str">
        <x:v>Unity runtime export</x:v>
      </x:c>
      <x:c r="G60" s="20" t="d">
        <x:v>2026-10-17T20:54:48.815Z</x:v>
      </x:c>
    </x:row>
    <x:row r="61" ht="28" customHeight="1">
      <x:c r="A61" s="10" t="str">
        <x:v>weapon.mortar</x:v>
      </x:c>
      <x:c r="B61" s="10" t="str">
        <x:v>Мортира</x:v>
      </x:c>
      <x:c r="C61" s="10" t="str">
        <x:v>Stats.Damage</x:v>
      </x:c>
      <x:c r="D61" s="10" t="n">
        <x:v>28</x:v>
      </x:c>
      <x:c r="E61" s="10" t="str"/>
      <x:c r="F61" s="10" t="str">
        <x:v>Unity runtime export</x:v>
      </x:c>
      <x:c r="G61" s="21" t="d">
        <x:v>2026-10-17T20:54:48.815Z</x:v>
      </x:c>
    </x:row>
    <x:row r="62" ht="28" customHeight="1">
      <x:c r="A62" s="11" t="str">
        <x:v>weapon.mortar</x:v>
      </x:c>
      <x:c r="B62" s="11" t="str">
        <x:v>Мортира</x:v>
      </x:c>
      <x:c r="C62" s="11" t="str">
        <x:v>Stats.ShotInterval</x:v>
      </x:c>
      <x:c r="D62" s="11" t="n">
        <x:v>1.9</x:v>
      </x:c>
      <x:c r="E62" s="11" t="str"/>
      <x:c r="F62" s="11" t="str">
        <x:v>Unity runtime export</x:v>
      </x:c>
      <x:c r="G62" s="20" t="d">
        <x:v>2026-10-17T20:54:48.815Z</x:v>
      </x:c>
    </x:row>
    <x:row r="63" ht="28" customHeight="1">
      <x:c r="A63" s="10" t="str">
        <x:v>weapon.mortar</x:v>
      </x:c>
      <x:c r="B63" s="10" t="str">
        <x:v>Мортира</x:v>
      </x:c>
      <x:c r="C63" s="10" t="str">
        <x:v>Stats.Range</x:v>
      </x:c>
      <x:c r="D63" s="10" t="n">
        <x:v>18</x:v>
      </x:c>
      <x:c r="E63" s="10" t="str"/>
      <x:c r="F63" s="10" t="str">
        <x:v>Unity runtime export</x:v>
      </x:c>
      <x:c r="G63" s="21" t="d">
        <x:v>2026-10-17T20:54:48.815Z</x:v>
      </x:c>
    </x:row>
    <x:row r="64" ht="28" customHeight="1">
      <x:c r="A64" s="11" t="str">
        <x:v>weapon.mortar</x:v>
      </x:c>
      <x:c r="B64" s="11" t="str">
        <x:v>Мортира</x:v>
      </x:c>
      <x:c r="C64" s="11" t="str">
        <x:v>Stats.Radius</x:v>
      </x:c>
      <x:c r="D64" s="11" t="n">
        <x:v>2.4</x:v>
      </x:c>
      <x:c r="E64" s="11" t="str"/>
      <x:c r="F64" s="11" t="str">
        <x:v>Unity runtime export</x:v>
      </x:c>
      <x:c r="G64" s="20" t="d">
        <x:v>2026-10-17T20:54:48.815Z</x:v>
      </x:c>
    </x:row>
    <x:row r="65" ht="28" customHeight="1">
      <x:c r="A65" s="10" t="str">
        <x:v>weapon.mortar</x:v>
      </x:c>
      <x:c r="B65" s="10" t="str">
        <x:v>Мортира</x:v>
      </x:c>
      <x:c r="C65" s="10" t="str">
        <x:v>Stats.MaxPierce</x:v>
      </x:c>
      <x:c r="D65" s="10" t="n">
        <x:v>1</x:v>
      </x:c>
      <x:c r="E65" s="10" t="str"/>
      <x:c r="F65" s="10" t="str">
        <x:v>Unity runtime export</x:v>
      </x:c>
      <x:c r="G65" s="21" t="d">
        <x:v>2026-10-17T20:54:48.815Z</x:v>
      </x:c>
    </x:row>
    <x:row r="66" ht="28" customHeight="1">
      <x:c r="A66" s="11" t="str">
        <x:v>weapon.mortar</x:v>
      </x:c>
      <x:c r="B66" s="11" t="str">
        <x:v>Мортира</x:v>
      </x:c>
      <x:c r="C66" s="11" t="str">
        <x:v>Stats.MaxTargets</x:v>
      </x:c>
      <x:c r="D66" s="11" t="n">
        <x:v>8</x:v>
      </x:c>
      <x:c r="E66" s="11" t="str"/>
      <x:c r="F66" s="11" t="str">
        <x:v>Unity runtime export</x:v>
      </x:c>
      <x:c r="G66" s="20" t="d">
        <x:v>2026-10-17T20:54:48.815Z</x:v>
      </x:c>
    </x:row>
    <x:row r="67" ht="28" customHeight="1">
      <x:c r="A67" s="10" t="str">
        <x:v>weapon.fan</x:v>
      </x:c>
      <x:c r="B67" s="10" t="str">
        <x:v>Веерный ствол</x:v>
      </x:c>
      <x:c r="C67" s="10" t="str">
        <x:v>Load</x:v>
      </x:c>
      <x:c r="D67" s="10" t="n">
        <x:v>5</x:v>
      </x:c>
      <x:c r="E67" s="10" t="str"/>
      <x:c r="F67" s="10" t="str">
        <x:v>Unity runtime export</x:v>
      </x:c>
      <x:c r="G67" s="21" t="d">
        <x:v>2026-10-17T20:54:48.815Z</x:v>
      </x:c>
    </x:row>
    <x:row r="68" ht="28" customHeight="1">
      <x:c r="A68" s="11" t="str">
        <x:v>weapon.fan</x:v>
      </x:c>
      <x:c r="B68" s="11" t="str">
        <x:v>Веерный ствол</x:v>
      </x:c>
      <x:c r="C68" s="11" t="str">
        <x:v>AssemblyCredit</x:v>
      </x:c>
      <x:c r="D68" s="11" t="n">
        <x:v>16</x:v>
      </x:c>
      <x:c r="E68" s="11" t="str"/>
      <x:c r="F68" s="11" t="str">
        <x:v>Unity runtime export</x:v>
      </x:c>
      <x:c r="G68" s="20" t="d">
        <x:v>2026-10-17T20:54:48.815Z</x:v>
      </x:c>
    </x:row>
    <x:row r="69" ht="28" customHeight="1">
      <x:c r="A69" s="10" t="str">
        <x:v>weapon.fan</x:v>
      </x:c>
      <x:c r="B69" s="10" t="str">
        <x:v>Веерный ствол</x:v>
      </x:c>
      <x:c r="C69" s="10" t="str">
        <x:v>MinimumRange</x:v>
      </x:c>
      <x:c r="D69" s="10" t="n">
        <x:v>0</x:v>
      </x:c>
      <x:c r="E69" s="10" t="str"/>
      <x:c r="F69" s="10" t="str">
        <x:v>Unity runtime export</x:v>
      </x:c>
      <x:c r="G69" s="21" t="d">
        <x:v>2026-10-17T20:54:48.815Z</x:v>
      </x:c>
    </x:row>
    <x:row r="70" ht="28" customHeight="1">
      <x:c r="A70" s="11" t="str">
        <x:v>weapon.fan</x:v>
      </x:c>
      <x:c r="B70" s="11" t="str">
        <x:v>Веерный ствол</x:v>
      </x:c>
      <x:c r="C70" s="11" t="str">
        <x:v>UnlockGold</x:v>
      </x:c>
      <x:c r="D70" s="11" t="n">
        <x:v>60</x:v>
      </x:c>
      <x:c r="E70" s="11" t="str"/>
      <x:c r="F70" s="11" t="str">
        <x:v>Unity runtime export</x:v>
      </x:c>
      <x:c r="G70" s="20" t="d">
        <x:v>2026-10-17T20:54:48.815Z</x:v>
      </x:c>
    </x:row>
    <x:row r="71" ht="28" customHeight="1">
      <x:c r="A71" s="10" t="str">
        <x:v>weapon.fan</x:v>
      </x:c>
      <x:c r="B71" s="10" t="str">
        <x:v>Веерный ствол</x:v>
      </x:c>
      <x:c r="C71" s="10" t="str">
        <x:v>Stats.Cost</x:v>
      </x:c>
      <x:c r="D71" s="10" t="n">
        <x:v>55</x:v>
      </x:c>
      <x:c r="E71" s="10" t="str"/>
      <x:c r="F71" s="10" t="str">
        <x:v>Unity runtime export</x:v>
      </x:c>
      <x:c r="G71" s="21" t="d">
        <x:v>2026-10-17T20:54:48.815Z</x:v>
      </x:c>
    </x:row>
    <x:row r="72" ht="28" customHeight="1">
      <x:c r="A72" s="11" t="str">
        <x:v>weapon.fan</x:v>
      </x:c>
      <x:c r="B72" s="11" t="str">
        <x:v>Веерный ствол</x:v>
      </x:c>
      <x:c r="C72" s="11" t="str">
        <x:v>Stats.Damage</x:v>
      </x:c>
      <x:c r="D72" s="11" t="n">
        <x:v>14</x:v>
      </x:c>
      <x:c r="E72" s="11" t="str"/>
      <x:c r="F72" s="11" t="str">
        <x:v>Unity runtime export</x:v>
      </x:c>
      <x:c r="G72" s="20" t="d">
        <x:v>2026-10-17T20:54:48.815Z</x:v>
      </x:c>
    </x:row>
    <x:row r="73" ht="28" customHeight="1">
      <x:c r="A73" s="10" t="str">
        <x:v>weapon.fan</x:v>
      </x:c>
      <x:c r="B73" s="10" t="str">
        <x:v>Веерный ствол</x:v>
      </x:c>
      <x:c r="C73" s="10" t="str">
        <x:v>Stats.ShotInterval</x:v>
      </x:c>
      <x:c r="D73" s="10" t="n">
        <x:v>0.85</x:v>
      </x:c>
      <x:c r="E73" s="10" t="str"/>
      <x:c r="F73" s="10" t="str">
        <x:v>Unity runtime export</x:v>
      </x:c>
      <x:c r="G73" s="21" t="d">
        <x:v>2026-10-17T20:54:48.815Z</x:v>
      </x:c>
    </x:row>
    <x:row r="74" ht="28" customHeight="1">
      <x:c r="A74" s="11" t="str">
        <x:v>weapon.fan</x:v>
      </x:c>
      <x:c r="B74" s="11" t="str">
        <x:v>Веерный ствол</x:v>
      </x:c>
      <x:c r="C74" s="11" t="str">
        <x:v>Stats.Range</x:v>
      </x:c>
      <x:c r="D74" s="11" t="n">
        <x:v>6</x:v>
      </x:c>
      <x:c r="E74" s="11" t="str"/>
      <x:c r="F74" s="11" t="str">
        <x:v>Unity runtime export</x:v>
      </x:c>
      <x:c r="G74" s="20" t="d">
        <x:v>2026-10-17T20:54:48.815Z</x:v>
      </x:c>
    </x:row>
    <x:row r="75" ht="28" customHeight="1">
      <x:c r="A75" s="10" t="str">
        <x:v>weapon.fan</x:v>
      </x:c>
      <x:c r="B75" s="10" t="str">
        <x:v>Веерный ствол</x:v>
      </x:c>
      <x:c r="C75" s="10" t="str">
        <x:v>Stats.Radius</x:v>
      </x:c>
      <x:c r="D75" s="10" t="n">
        <x:v>0.1</x:v>
      </x:c>
      <x:c r="E75" s="10" t="str"/>
      <x:c r="F75" s="10" t="str">
        <x:v>Unity runtime export</x:v>
      </x:c>
      <x:c r="G75" s="21" t="d">
        <x:v>2026-10-17T20:54:48.815Z</x:v>
      </x:c>
    </x:row>
    <x:row r="76" ht="28" customHeight="1">
      <x:c r="A76" s="11" t="str">
        <x:v>weapon.fan</x:v>
      </x:c>
      <x:c r="B76" s="11" t="str">
        <x:v>Веерный ствол</x:v>
      </x:c>
      <x:c r="C76" s="11" t="str">
        <x:v>Stats.MaxPierce</x:v>
      </x:c>
      <x:c r="D76" s="11" t="n">
        <x:v>1</x:v>
      </x:c>
      <x:c r="E76" s="11" t="str"/>
      <x:c r="F76" s="11" t="str">
        <x:v>Unity runtime export</x:v>
      </x:c>
      <x:c r="G76" s="20" t="d">
        <x:v>2026-10-17T20:54:48.815Z</x:v>
      </x:c>
    </x:row>
    <x:row r="77" ht="28" customHeight="1">
      <x:c r="A77" s="10" t="str">
        <x:v>weapon.fan</x:v>
      </x:c>
      <x:c r="B77" s="10" t="str">
        <x:v>Веерный ствол</x:v>
      </x:c>
      <x:c r="C77" s="10" t="str">
        <x:v>Stats.MaxTargets</x:v>
      </x:c>
      <x:c r="D77" s="10" t="n">
        <x:v>8</x:v>
      </x:c>
      <x:c r="E77" s="10" t="str"/>
      <x:c r="F77" s="10" t="str">
        <x:v>Unity runtime export</x:v>
      </x:c>
      <x:c r="G77" s="21" t="d">
        <x:v>2026-10-17T20:54:48.815Z</x:v>
      </x:c>
    </x:row>
    <x:row r="78" ht="28" customHeight="1">
      <x:c r="A78" s="11" t="str">
        <x:v>weapon.ricochet</x:v>
      </x:c>
      <x:c r="B78" s="11" t="str">
        <x:v>Рикошет</x:v>
      </x:c>
      <x:c r="C78" s="11" t="str">
        <x:v>Load</x:v>
      </x:c>
      <x:c r="D78" s="11" t="n">
        <x:v>5</x:v>
      </x:c>
      <x:c r="E78" s="11" t="str"/>
      <x:c r="F78" s="11" t="str">
        <x:v>Unity runtime export</x:v>
      </x:c>
      <x:c r="G78" s="20" t="d">
        <x:v>2026-10-17T20:54:48.815Z</x:v>
      </x:c>
    </x:row>
    <x:row r="79" ht="28" customHeight="1">
      <x:c r="A79" s="10" t="str">
        <x:v>weapon.ricochet</x:v>
      </x:c>
      <x:c r="B79" s="10" t="str">
        <x:v>Рикошет</x:v>
      </x:c>
      <x:c r="C79" s="10" t="str">
        <x:v>AssemblyCredit</x:v>
      </x:c>
      <x:c r="D79" s="10" t="n">
        <x:v>16</x:v>
      </x:c>
      <x:c r="E79" s="10" t="str"/>
      <x:c r="F79" s="10" t="str">
        <x:v>Unity runtime export</x:v>
      </x:c>
      <x:c r="G79" s="21" t="d">
        <x:v>2026-10-17T20:54:48.815Z</x:v>
      </x:c>
    </x:row>
    <x:row r="80" ht="28" customHeight="1">
      <x:c r="A80" s="11" t="str">
        <x:v>weapon.ricochet</x:v>
      </x:c>
      <x:c r="B80" s="11" t="str">
        <x:v>Рикошет</x:v>
      </x:c>
      <x:c r="C80" s="11" t="str">
        <x:v>MinimumRange</x:v>
      </x:c>
      <x:c r="D80" s="11" t="n">
        <x:v>0</x:v>
      </x:c>
      <x:c r="E80" s="11" t="str"/>
      <x:c r="F80" s="11" t="str">
        <x:v>Unity runtime export</x:v>
      </x:c>
      <x:c r="G80" s="20" t="d">
        <x:v>2026-10-17T20:54:48.815Z</x:v>
      </x:c>
    </x:row>
    <x:row r="81" ht="28" customHeight="1">
      <x:c r="A81" s="10" t="str">
        <x:v>weapon.ricochet</x:v>
      </x:c>
      <x:c r="B81" s="10" t="str">
        <x:v>Рикошет</x:v>
      </x:c>
      <x:c r="C81" s="10" t="str">
        <x:v>UnlockGold</x:v>
      </x:c>
      <x:c r="D81" s="10" t="n">
        <x:v>60</x:v>
      </x:c>
      <x:c r="E81" s="10" t="str"/>
      <x:c r="F81" s="10" t="str">
        <x:v>Unity runtime export</x:v>
      </x:c>
      <x:c r="G81" s="21" t="d">
        <x:v>2026-10-17T20:54:48.815Z</x:v>
      </x:c>
    </x:row>
    <x:row r="82" ht="28" customHeight="1">
      <x:c r="A82" s="11" t="str">
        <x:v>weapon.ricochet</x:v>
      </x:c>
      <x:c r="B82" s="11" t="str">
        <x:v>Рикошет</x:v>
      </x:c>
      <x:c r="C82" s="11" t="str">
        <x:v>Stats.Cost</x:v>
      </x:c>
      <x:c r="D82" s="11" t="n">
        <x:v>68</x:v>
      </x:c>
      <x:c r="E82" s="11" t="str"/>
      <x:c r="F82" s="11" t="str">
        <x:v>Unity runtime export</x:v>
      </x:c>
      <x:c r="G82" s="20" t="d">
        <x:v>2026-10-17T20:54:48.815Z</x:v>
      </x:c>
    </x:row>
    <x:row r="83" ht="28" customHeight="1">
      <x:c r="A83" s="10" t="str">
        <x:v>weapon.ricochet</x:v>
      </x:c>
      <x:c r="B83" s="10" t="str">
        <x:v>Рикошет</x:v>
      </x:c>
      <x:c r="C83" s="10" t="str">
        <x:v>Stats.Damage</x:v>
      </x:c>
      <x:c r="D83" s="10" t="n">
        <x:v>12</x:v>
      </x:c>
      <x:c r="E83" s="10" t="str"/>
      <x:c r="F83" s="10" t="str">
        <x:v>Unity runtime export</x:v>
      </x:c>
      <x:c r="G83" s="21" t="d">
        <x:v>2026-10-17T20:54:48.815Z</x:v>
      </x:c>
    </x:row>
    <x:row r="84" ht="28" customHeight="1">
      <x:c r="A84" s="11" t="str">
        <x:v>weapon.ricochet</x:v>
      </x:c>
      <x:c r="B84" s="11" t="str">
        <x:v>Рикошет</x:v>
      </x:c>
      <x:c r="C84" s="11" t="str">
        <x:v>Stats.ShotInterval</x:v>
      </x:c>
      <x:c r="D84" s="11" t="n">
        <x:v>0.9</x:v>
      </x:c>
      <x:c r="E84" s="11" t="str"/>
      <x:c r="F84" s="11" t="str">
        <x:v>Unity runtime export</x:v>
      </x:c>
      <x:c r="G84" s="20" t="d">
        <x:v>2026-10-17T20:54:48.815Z</x:v>
      </x:c>
    </x:row>
    <x:row r="85" ht="28" customHeight="1">
      <x:c r="A85" s="10" t="str">
        <x:v>weapon.ricochet</x:v>
      </x:c>
      <x:c r="B85" s="10" t="str">
        <x:v>Рикошет</x:v>
      </x:c>
      <x:c r="C85" s="10" t="str">
        <x:v>Stats.Range</x:v>
      </x:c>
      <x:c r="D85" s="10" t="n">
        <x:v>10</x:v>
      </x:c>
      <x:c r="E85" s="10" t="str"/>
      <x:c r="F85" s="10" t="str">
        <x:v>Unity runtime export</x:v>
      </x:c>
      <x:c r="G85" s="21" t="d">
        <x:v>2026-10-17T20:54:48.815Z</x:v>
      </x:c>
    </x:row>
    <x:row r="86" ht="28" customHeight="1">
      <x:c r="A86" s="11" t="str">
        <x:v>weapon.ricochet</x:v>
      </x:c>
      <x:c r="B86" s="11" t="str">
        <x:v>Рикошет</x:v>
      </x:c>
      <x:c r="C86" s="11" t="str">
        <x:v>Stats.Radius</x:v>
      </x:c>
      <x:c r="D86" s="11" t="n">
        <x:v>0.1</x:v>
      </x:c>
      <x:c r="E86" s="11" t="str"/>
      <x:c r="F86" s="11" t="str">
        <x:v>Unity runtime export</x:v>
      </x:c>
      <x:c r="G86" s="20" t="d">
        <x:v>2026-10-17T20:54:48.815Z</x:v>
      </x:c>
    </x:row>
    <x:row r="87" ht="28" customHeight="1">
      <x:c r="A87" s="10" t="str">
        <x:v>weapon.ricochet</x:v>
      </x:c>
      <x:c r="B87" s="10" t="str">
        <x:v>Рикошет</x:v>
      </x:c>
      <x:c r="C87" s="10" t="str">
        <x:v>Stats.MaxPierce</x:v>
      </x:c>
      <x:c r="D87" s="10" t="n">
        <x:v>1</x:v>
      </x:c>
      <x:c r="E87" s="10" t="str"/>
      <x:c r="F87" s="10" t="str">
        <x:v>Unity runtime export</x:v>
      </x:c>
      <x:c r="G87" s="21" t="d">
        <x:v>2026-10-17T20:54:48.815Z</x:v>
      </x:c>
    </x:row>
    <x:row r="88" ht="28" customHeight="1">
      <x:c r="A88" s="11" t="str">
        <x:v>weapon.ricochet</x:v>
      </x:c>
      <x:c r="B88" s="11" t="str">
        <x:v>Рикошет</x:v>
      </x:c>
      <x:c r="C88" s="11" t="str">
        <x:v>Stats.MaxTargets</x:v>
      </x:c>
      <x:c r="D88" s="11" t="n">
        <x:v>4</x:v>
      </x:c>
      <x:c r="E88" s="11" t="str"/>
      <x:c r="F88" s="11" t="str">
        <x:v>Unity runtime export</x:v>
      </x:c>
      <x:c r="G88" s="20" t="d">
        <x:v>2026-10-17T20:54:48.815Z</x:v>
      </x:c>
    </x:row>
    <x:row r="89" ht="28" customHeight="1">
      <x:c r="A89" s="10" t="str">
        <x:v>weapon.stapler</x:v>
      </x:c>
      <x:c r="B89" s="10" t="str">
        <x:v>Степлер</x:v>
      </x:c>
      <x:c r="C89" s="10" t="str">
        <x:v>Load</x:v>
      </x:c>
      <x:c r="D89" s="10" t="n">
        <x:v>2</x:v>
      </x:c>
      <x:c r="E89" s="10" t="str"/>
      <x:c r="F89" s="10" t="str">
        <x:v>Unity runtime export</x:v>
      </x:c>
      <x:c r="G89" s="21" t="d">
        <x:v>2026-10-17T20:54:48.815Z</x:v>
      </x:c>
    </x:row>
    <x:row r="90" ht="28" customHeight="1">
      <x:c r="A90" s="11" t="str">
        <x:v>weapon.stapler</x:v>
      </x:c>
      <x:c r="B90" s="11" t="str">
        <x:v>Степлер</x:v>
      </x:c>
      <x:c r="C90" s="11" t="str">
        <x:v>AssemblyCredit</x:v>
      </x:c>
      <x:c r="D90" s="11" t="n">
        <x:v>16</x:v>
      </x:c>
      <x:c r="E90" s="11" t="str"/>
      <x:c r="F90" s="11" t="str">
        <x:v>Unity runtime export</x:v>
      </x:c>
      <x:c r="G90" s="20" t="d">
        <x:v>2026-10-17T20:54:48.815Z</x:v>
      </x:c>
    </x:row>
    <x:row r="91" ht="28" customHeight="1">
      <x:c r="A91" s="10" t="str">
        <x:v>weapon.stapler</x:v>
      </x:c>
      <x:c r="B91" s="10" t="str">
        <x:v>Степлер</x:v>
      </x:c>
      <x:c r="C91" s="10" t="str">
        <x:v>MinimumRange</x:v>
      </x:c>
      <x:c r="D91" s="10" t="n">
        <x:v>0</x:v>
      </x:c>
      <x:c r="E91" s="10" t="str"/>
      <x:c r="F91" s="10" t="str">
        <x:v>Unity runtime export</x:v>
      </x:c>
      <x:c r="G91" s="21" t="d">
        <x:v>2026-10-17T20:54:48.815Z</x:v>
      </x:c>
    </x:row>
    <x:row r="92" ht="28" customHeight="1">
      <x:c r="A92" s="11" t="str">
        <x:v>weapon.stapler</x:v>
      </x:c>
      <x:c r="B92" s="11" t="str">
        <x:v>Степлер</x:v>
      </x:c>
      <x:c r="C92" s="11" t="str">
        <x:v>UnlockGold</x:v>
      </x:c>
      <x:c r="D92" s="11" t="n">
        <x:v>40</x:v>
      </x:c>
      <x:c r="E92" s="11" t="str"/>
      <x:c r="F92" s="11" t="str">
        <x:v>Unity runtime export</x:v>
      </x:c>
      <x:c r="G92" s="20" t="d">
        <x:v>2026-10-17T20:54:48.815Z</x:v>
      </x:c>
    </x:row>
    <x:row r="93" ht="28" customHeight="1">
      <x:c r="A93" s="10" t="str">
        <x:v>weapon.stapler</x:v>
      </x:c>
      <x:c r="B93" s="10" t="str">
        <x:v>Степлер</x:v>
      </x:c>
      <x:c r="C93" s="10" t="str">
        <x:v>Stats.Cost</x:v>
      </x:c>
      <x:c r="D93" s="10" t="n">
        <x:v>28</x:v>
      </x:c>
      <x:c r="E93" s="10" t="str"/>
      <x:c r="F93" s="10" t="str">
        <x:v>Unity runtime export</x:v>
      </x:c>
      <x:c r="G93" s="21" t="d">
        <x:v>2026-10-17T20:54:48.815Z</x:v>
      </x:c>
    </x:row>
    <x:row r="94" ht="28" customHeight="1">
      <x:c r="A94" s="11" t="str">
        <x:v>weapon.stapler</x:v>
      </x:c>
      <x:c r="B94" s="11" t="str">
        <x:v>Степлер</x:v>
      </x:c>
      <x:c r="C94" s="11" t="str">
        <x:v>Stats.Damage</x:v>
      </x:c>
      <x:c r="D94" s="11" t="n">
        <x:v>5</x:v>
      </x:c>
      <x:c r="E94" s="11" t="str"/>
      <x:c r="F94" s="11" t="str">
        <x:v>Unity runtime export</x:v>
      </x:c>
      <x:c r="G94" s="20" t="d">
        <x:v>2026-10-17T20:54:48.815Z</x:v>
      </x:c>
    </x:row>
    <x:row r="95" ht="28" customHeight="1">
      <x:c r="A95" s="10" t="str">
        <x:v>weapon.stapler</x:v>
      </x:c>
      <x:c r="B95" s="10" t="str">
        <x:v>Степлер</x:v>
      </x:c>
      <x:c r="C95" s="10" t="str">
        <x:v>Stats.ShotInterval</x:v>
      </x:c>
      <x:c r="D95" s="10" t="n">
        <x:v>0.6</x:v>
      </x:c>
      <x:c r="E95" s="10" t="str"/>
      <x:c r="F95" s="10" t="str">
        <x:v>Unity runtime export</x:v>
      </x:c>
      <x:c r="G95" s="21" t="d">
        <x:v>2026-10-17T20:54:48.815Z</x:v>
      </x:c>
    </x:row>
    <x:row r="96" ht="28" customHeight="1">
      <x:c r="A96" s="11" t="str">
        <x:v>weapon.stapler</x:v>
      </x:c>
      <x:c r="B96" s="11" t="str">
        <x:v>Степлер</x:v>
      </x:c>
      <x:c r="C96" s="11" t="str">
        <x:v>Stats.Range</x:v>
      </x:c>
      <x:c r="D96" s="11" t="n">
        <x:v>9</x:v>
      </x:c>
      <x:c r="E96" s="11" t="str"/>
      <x:c r="F96" s="11" t="str">
        <x:v>Unity runtime export</x:v>
      </x:c>
      <x:c r="G96" s="20" t="d">
        <x:v>2026-10-17T20:54:48.815Z</x:v>
      </x:c>
    </x:row>
    <x:row r="97" ht="28" customHeight="1">
      <x:c r="A97" s="10" t="str">
        <x:v>weapon.stapler</x:v>
      </x:c>
      <x:c r="B97" s="10" t="str">
        <x:v>Степлер</x:v>
      </x:c>
      <x:c r="C97" s="10" t="str">
        <x:v>Stats.Radius</x:v>
      </x:c>
      <x:c r="D97" s="10" t="n">
        <x:v>0.1</x:v>
      </x:c>
      <x:c r="E97" s="10" t="str"/>
      <x:c r="F97" s="10" t="str">
        <x:v>Unity runtime export</x:v>
      </x:c>
      <x:c r="G97" s="21" t="d">
        <x:v>2026-10-17T20:54:48.815Z</x:v>
      </x:c>
    </x:row>
    <x:row r="98" ht="28" customHeight="1">
      <x:c r="A98" s="11" t="str">
        <x:v>weapon.stapler</x:v>
      </x:c>
      <x:c r="B98" s="11" t="str">
        <x:v>Степлер</x:v>
      </x:c>
      <x:c r="C98" s="11" t="str">
        <x:v>Stats.MaxPierce</x:v>
      </x:c>
      <x:c r="D98" s="11" t="n">
        <x:v>1</x:v>
      </x:c>
      <x:c r="E98" s="11" t="str"/>
      <x:c r="F98" s="11" t="str">
        <x:v>Unity runtime export</x:v>
      </x:c>
      <x:c r="G98" s="20" t="d">
        <x:v>2026-10-17T20:54:48.815Z</x:v>
      </x:c>
    </x:row>
    <x:row r="99" ht="28" customHeight="1">
      <x:c r="A99" s="10" t="str">
        <x:v>weapon.stapler</x:v>
      </x:c>
      <x:c r="B99" s="10" t="str">
        <x:v>Степлер</x:v>
      </x:c>
      <x:c r="C99" s="10" t="str">
        <x:v>Stats.MaxTargets</x:v>
      </x:c>
      <x:c r="D99" s="10" t="n">
        <x:v>8</x:v>
      </x:c>
      <x:c r="E99" s="10" t="str"/>
      <x:c r="F99" s="10" t="str">
        <x:v>Unity runtime export</x:v>
      </x:c>
      <x:c r="G99" s="21" t="d">
        <x:v>2026-10-17T20:54:48.815Z</x:v>
      </x:c>
    </x:row>
    <x:row r="100" ht="28" customHeight="1">
      <x:c r="A100" s="11" t="str">
        <x:v>weapon.blotter</x:v>
      </x:c>
      <x:c r="B100" s="11" t="str">
        <x:v>Промокашка</x:v>
      </x:c>
      <x:c r="C100" s="11" t="str">
        <x:v>Load</x:v>
      </x:c>
      <x:c r="D100" s="11" t="n">
        <x:v>2</x:v>
      </x:c>
      <x:c r="E100" s="11" t="str"/>
      <x:c r="F100" s="11" t="str">
        <x:v>Unity runtime export</x:v>
      </x:c>
      <x:c r="G100" s="20" t="d">
        <x:v>2026-10-17T20:54:48.815Z</x:v>
      </x:c>
    </x:row>
    <x:row r="101" ht="28" customHeight="1">
      <x:c r="A101" s="10" t="str">
        <x:v>weapon.blotter</x:v>
      </x:c>
      <x:c r="B101" s="10" t="str">
        <x:v>Промокашка</x:v>
      </x:c>
      <x:c r="C101" s="10" t="str">
        <x:v>AssemblyCredit</x:v>
      </x:c>
      <x:c r="D101" s="10" t="n">
        <x:v>16</x:v>
      </x:c>
      <x:c r="E101" s="10" t="str"/>
      <x:c r="F101" s="10" t="str">
        <x:v>Unity runtime export</x:v>
      </x:c>
      <x:c r="G101" s="21" t="d">
        <x:v>2026-10-17T20:54:48.815Z</x:v>
      </x:c>
    </x:row>
    <x:row r="102" ht="28" customHeight="1">
      <x:c r="A102" s="11" t="str">
        <x:v>weapon.blotter</x:v>
      </x:c>
      <x:c r="B102" s="11" t="str">
        <x:v>Промокашка</x:v>
      </x:c>
      <x:c r="C102" s="11" t="str">
        <x:v>MinimumRange</x:v>
      </x:c>
      <x:c r="D102" s="11" t="n">
        <x:v>0</x:v>
      </x:c>
      <x:c r="E102" s="11" t="str"/>
      <x:c r="F102" s="11" t="str">
        <x:v>Unity runtime export</x:v>
      </x:c>
      <x:c r="G102" s="20" t="d">
        <x:v>2026-10-17T20:54:48.815Z</x:v>
      </x:c>
    </x:row>
    <x:row r="103" ht="28" customHeight="1">
      <x:c r="A103" s="10" t="str">
        <x:v>weapon.blotter</x:v>
      </x:c>
      <x:c r="B103" s="10" t="str">
        <x:v>Промокашка</x:v>
      </x:c>
      <x:c r="C103" s="10" t="str">
        <x:v>UnlockGold</x:v>
      </x:c>
      <x:c r="D103" s="10" t="n">
        <x:v>40</x:v>
      </x:c>
      <x:c r="E103" s="10" t="str"/>
      <x:c r="F103" s="10" t="str">
        <x:v>Unity runtime export</x:v>
      </x:c>
      <x:c r="G103" s="21" t="d">
        <x:v>2026-10-17T20:54:48.815Z</x:v>
      </x:c>
    </x:row>
    <x:row r="104" ht="28" customHeight="1">
      <x:c r="A104" s="11" t="str">
        <x:v>weapon.blotter</x:v>
      </x:c>
      <x:c r="B104" s="11" t="str">
        <x:v>Промокашка</x:v>
      </x:c>
      <x:c r="C104" s="11" t="str">
        <x:v>Stats.Cost</x:v>
      </x:c>
      <x:c r="D104" s="11" t="n">
        <x:v>24</x:v>
      </x:c>
      <x:c r="E104" s="11" t="str"/>
      <x:c r="F104" s="11" t="str">
        <x:v>Unity runtime export</x:v>
      </x:c>
      <x:c r="G104" s="20" t="d">
        <x:v>2026-10-17T20:54:48.815Z</x:v>
      </x:c>
    </x:row>
    <x:row r="105" ht="28" customHeight="1">
      <x:c r="A105" s="10" t="str">
        <x:v>weapon.blotter</x:v>
      </x:c>
      <x:c r="B105" s="10" t="str">
        <x:v>Промокашка</x:v>
      </x:c>
      <x:c r="C105" s="10" t="str">
        <x:v>Stats.Damage</x:v>
      </x:c>
      <x:c r="D105" s="10" t="n">
        <x:v>0</x:v>
      </x:c>
      <x:c r="E105" s="10" t="str"/>
      <x:c r="F105" s="10" t="str">
        <x:v>Unity runtime export</x:v>
      </x:c>
      <x:c r="G105" s="21" t="d">
        <x:v>2026-10-17T20:54:48.815Z</x:v>
      </x:c>
    </x:row>
    <x:row r="106" ht="28" customHeight="1">
      <x:c r="A106" s="11" t="str">
        <x:v>weapon.blotter</x:v>
      </x:c>
      <x:c r="B106" s="11" t="str">
        <x:v>Промокашка</x:v>
      </x:c>
      <x:c r="C106" s="11" t="str">
        <x:v>Stats.ShotInterval</x:v>
      </x:c>
      <x:c r="D106" s="11" t="n">
        <x:v>1.4</x:v>
      </x:c>
      <x:c r="E106" s="11" t="str"/>
      <x:c r="F106" s="11" t="str">
        <x:v>Unity runtime export</x:v>
      </x:c>
      <x:c r="G106" s="20" t="d">
        <x:v>2026-10-17T20:54:48.815Z</x:v>
      </x:c>
    </x:row>
    <x:row r="107" ht="28" customHeight="1">
      <x:c r="A107" s="10" t="str">
        <x:v>weapon.blotter</x:v>
      </x:c>
      <x:c r="B107" s="10" t="str">
        <x:v>Промокашка</x:v>
      </x:c>
      <x:c r="C107" s="10" t="str">
        <x:v>Stats.Range</x:v>
      </x:c>
      <x:c r="D107" s="10" t="n">
        <x:v>9</x:v>
      </x:c>
      <x:c r="E107" s="10" t="str"/>
      <x:c r="F107" s="10" t="str">
        <x:v>Unity runtime export</x:v>
      </x:c>
      <x:c r="G107" s="21" t="d">
        <x:v>2026-10-17T20:54:48.815Z</x:v>
      </x:c>
    </x:row>
    <x:row r="108" ht="28" customHeight="1">
      <x:c r="A108" s="11" t="str">
        <x:v>weapon.blotter</x:v>
      </x:c>
      <x:c r="B108" s="11" t="str">
        <x:v>Промокашка</x:v>
      </x:c>
      <x:c r="C108" s="11" t="str">
        <x:v>Stats.Radius</x:v>
      </x:c>
      <x:c r="D108" s="11" t="n">
        <x:v>2</x:v>
      </x:c>
      <x:c r="E108" s="11" t="str"/>
      <x:c r="F108" s="11" t="str">
        <x:v>Unity runtime export</x:v>
      </x:c>
      <x:c r="G108" s="20" t="d">
        <x:v>2026-10-17T20:54:48.815Z</x:v>
      </x:c>
    </x:row>
    <x:row r="109" ht="28" customHeight="1">
      <x:c r="A109" s="10" t="str">
        <x:v>weapon.blotter</x:v>
      </x:c>
      <x:c r="B109" s="10" t="str">
        <x:v>Промокашка</x:v>
      </x:c>
      <x:c r="C109" s="10" t="str">
        <x:v>Stats.MaxPierce</x:v>
      </x:c>
      <x:c r="D109" s="10" t="n">
        <x:v>1</x:v>
      </x:c>
      <x:c r="E109" s="10" t="str"/>
      <x:c r="F109" s="10" t="str">
        <x:v>Unity runtime export</x:v>
      </x:c>
      <x:c r="G109" s="21" t="d">
        <x:v>2026-10-17T20:54:48.815Z</x:v>
      </x:c>
    </x:row>
    <x:row r="110" ht="28" customHeight="1">
      <x:c r="A110" s="11" t="str">
        <x:v>weapon.blotter</x:v>
      </x:c>
      <x:c r="B110" s="11" t="str">
        <x:v>Промокашка</x:v>
      </x:c>
      <x:c r="C110" s="11" t="str">
        <x:v>Stats.MaxTargets</x:v>
      </x:c>
      <x:c r="D110" s="11" t="n">
        <x:v>8</x:v>
      </x:c>
      <x:c r="E110" s="11" t="str"/>
      <x:c r="F110" s="11" t="str">
        <x:v>Unity runtime export</x:v>
      </x:c>
      <x:c r="G110" s="20" t="d">
        <x:v>2026-10-17T20:54:48.815Z</x:v>
      </x:c>
    </x:row>
    <x:row r="111" ht="28" customHeight="1">
      <x:c r="A111" s="10" t="str">
        <x:v>module.armor</x:v>
      </x:c>
      <x:c r="B111" s="10" t="str">
        <x:v>Бронепластины</x:v>
      </x:c>
      <x:c r="C111" s="10" t="str">
        <x:v>Cost</x:v>
      </x:c>
      <x:c r="D111" s="10" t="n">
        <x:v>14</x:v>
      </x:c>
      <x:c r="E111" s="10" t="str"/>
      <x:c r="F111" s="10" t="str">
        <x:v>Unity runtime export</x:v>
      </x:c>
      <x:c r="G111" s="21" t="d">
        <x:v>2026-10-17T20:54:48.815Z</x:v>
      </x:c>
    </x:row>
    <x:row r="112" ht="28" customHeight="1">
      <x:c r="A112" s="11" t="str">
        <x:v>module.armor</x:v>
      </x:c>
      <x:c r="B112" s="11" t="str">
        <x:v>Бронепластины</x:v>
      </x:c>
      <x:c r="C112" s="11" t="str">
        <x:v>Load</x:v>
      </x:c>
      <x:c r="D112" s="11" t="n">
        <x:v>2</x:v>
      </x:c>
      <x:c r="E112" s="11" t="str"/>
      <x:c r="F112" s="11" t="str">
        <x:v>Unity runtime export</x:v>
      </x:c>
      <x:c r="G112" s="20" t="d">
        <x:v>2026-10-17T20:54:48.815Z</x:v>
      </x:c>
    </x:row>
    <x:row r="113" ht="28" customHeight="1">
      <x:c r="A113" s="10" t="str">
        <x:v>module.armor</x:v>
      </x:c>
      <x:c r="B113" s="10" t="str">
        <x:v>Бронепластины</x:v>
      </x:c>
      <x:c r="C113" s="10" t="str">
        <x:v>UnlockGold</x:v>
      </x:c>
      <x:c r="D113" s="10" t="n">
        <x:v>0</x:v>
      </x:c>
      <x:c r="E113" s="10" t="str"/>
      <x:c r="F113" s="10" t="str">
        <x:v>Unity runtime export</x:v>
      </x:c>
      <x:c r="G113" s="21" t="d">
        <x:v>2026-10-17T20:54:48.815Z</x:v>
      </x:c>
    </x:row>
    <x:row r="114" ht="28" customHeight="1">
      <x:c r="A114" s="11" t="str">
        <x:v>module.armor</x:v>
      </x:c>
      <x:c r="B114" s="11" t="str">
        <x:v>Бронепластины</x:v>
      </x:c>
      <x:c r="C114" s="11" t="str">
        <x:v>Modifier 0 stat 0</x:v>
      </x:c>
      <x:c r="D114" s="11" t="n">
        <x:v>1</x:v>
      </x:c>
      <x:c r="E114" s="11" t="str">
        <x:v>op 2</x:v>
      </x:c>
      <x:c r="F114" s="11" t="str">
        <x:v>Unity runtime export</x:v>
      </x:c>
      <x:c r="G114" s="20" t="d">
        <x:v>2026-10-17T20:54:48.815Z</x:v>
      </x:c>
    </x:row>
    <x:row r="115" ht="28" customHeight="1">
      <x:c r="A115" s="10" t="str">
        <x:v>module.armor</x:v>
      </x:c>
      <x:c r="B115" s="10" t="str">
        <x:v>Бронепластины</x:v>
      </x:c>
      <x:c r="C115" s="10" t="str">
        <x:v>Modifier 1 stat 1</x:v>
      </x:c>
      <x:c r="D115" s="10" t="n">
        <x:v>0.3</x:v>
      </x:c>
      <x:c r="E115" s="10" t="str">
        <x:v>op 0</x:v>
      </x:c>
      <x:c r="F115" s="10" t="str">
        <x:v>Unity runtime export</x:v>
      </x:c>
      <x:c r="G115" s="21" t="d">
        <x:v>2026-10-17T20:54:48.815Z</x:v>
      </x:c>
    </x:row>
    <x:row r="116" ht="28" customHeight="1">
      <x:c r="A116" s="11" t="str">
        <x:v>module.feed</x:v>
      </x:c>
      <x:c r="B116" s="11" t="str">
        <x:v>Улучшенная подача</x:v>
      </x:c>
      <x:c r="C116" s="11" t="str">
        <x:v>Cost</x:v>
      </x:c>
      <x:c r="D116" s="11" t="n">
        <x:v>10</x:v>
      </x:c>
      <x:c r="E116" s="11" t="str"/>
      <x:c r="F116" s="11" t="str">
        <x:v>Unity runtime export</x:v>
      </x:c>
      <x:c r="G116" s="20" t="d">
        <x:v>2026-10-17T20:54:48.815Z</x:v>
      </x:c>
    </x:row>
    <x:row r="117" ht="28" customHeight="1">
      <x:c r="A117" s="10" t="str">
        <x:v>module.feed</x:v>
      </x:c>
      <x:c r="B117" s="10" t="str">
        <x:v>Улучшенная подача</x:v>
      </x:c>
      <x:c r="C117" s="10" t="str">
        <x:v>Load</x:v>
      </x:c>
      <x:c r="D117" s="10" t="n">
        <x:v>2</x:v>
      </x:c>
      <x:c r="E117" s="10" t="str"/>
      <x:c r="F117" s="10" t="str">
        <x:v>Unity runtime export</x:v>
      </x:c>
      <x:c r="G117" s="21" t="d">
        <x:v>2026-10-17T20:54:48.815Z</x:v>
      </x:c>
    </x:row>
    <x:row r="118" ht="28" customHeight="1">
      <x:c r="A118" s="11" t="str">
        <x:v>module.feed</x:v>
      </x:c>
      <x:c r="B118" s="11" t="str">
        <x:v>Улучшенная подача</x:v>
      </x:c>
      <x:c r="C118" s="11" t="str">
        <x:v>UnlockGold</x:v>
      </x:c>
      <x:c r="D118" s="11" t="n">
        <x:v>60</x:v>
      </x:c>
      <x:c r="E118" s="11" t="str"/>
      <x:c r="F118" s="11" t="str">
        <x:v>Unity runtime export</x:v>
      </x:c>
      <x:c r="G118" s="20" t="d">
        <x:v>2026-10-17T20:54:48.815Z</x:v>
      </x:c>
    </x:row>
    <x:row r="119" ht="28" customHeight="1">
      <x:c r="A119" s="10" t="str">
        <x:v>module.feed</x:v>
      </x:c>
      <x:c r="B119" s="10" t="str">
        <x:v>Улучшенная подача</x:v>
      </x:c>
      <x:c r="C119" s="10" t="str">
        <x:v>Modifier 0 stat 4</x:v>
      </x:c>
      <x:c r="D119" s="10" t="n">
        <x:v>1.25</x:v>
      </x:c>
      <x:c r="E119" s="10" t="str">
        <x:v>op 2</x:v>
      </x:c>
      <x:c r="F119" s="10" t="str">
        <x:v>Unity runtime export</x:v>
      </x:c>
      <x:c r="G119" s="21" t="d">
        <x:v>2026-10-17T20:54:48.815Z</x:v>
      </x:c>
    </x:row>
    <x:row r="120" ht="28" customHeight="1">
      <x:c r="A120" s="11" t="str">
        <x:v>module.tracking</x:v>
      </x:c>
      <x:c r="B120" s="11" t="str">
        <x:v>Быстрое наведение</x:v>
      </x:c>
      <x:c r="C120" s="11" t="str">
        <x:v>Cost</x:v>
      </x:c>
      <x:c r="D120" s="11" t="n">
        <x:v>8</x:v>
      </x:c>
      <x:c r="E120" s="11" t="str"/>
      <x:c r="F120" s="11" t="str">
        <x:v>Unity runtime export</x:v>
      </x:c>
      <x:c r="G120" s="20" t="d">
        <x:v>2026-10-17T20:54:48.815Z</x:v>
      </x:c>
    </x:row>
    <x:row r="121" ht="28" customHeight="1">
      <x:c r="A121" s="10" t="str">
        <x:v>module.tracking</x:v>
      </x:c>
      <x:c r="B121" s="10" t="str">
        <x:v>Быстрое наведение</x:v>
      </x:c>
      <x:c r="C121" s="10" t="str">
        <x:v>Load</x:v>
      </x:c>
      <x:c r="D121" s="10" t="n">
        <x:v>1</x:v>
      </x:c>
      <x:c r="E121" s="10" t="str"/>
      <x:c r="F121" s="10" t="str">
        <x:v>Unity runtime export</x:v>
      </x:c>
      <x:c r="G121" s="21" t="d">
        <x:v>2026-10-17T20:54:48.815Z</x:v>
      </x:c>
    </x:row>
    <x:row r="122" ht="28" customHeight="1">
      <x:c r="A122" s="11" t="str">
        <x:v>module.tracking</x:v>
      </x:c>
      <x:c r="B122" s="11" t="str">
        <x:v>Быстрое наведение</x:v>
      </x:c>
      <x:c r="C122" s="11" t="str">
        <x:v>UnlockGold</x:v>
      </x:c>
      <x:c r="D122" s="11" t="n">
        <x:v>60</x:v>
      </x:c>
      <x:c r="E122" s="11" t="str"/>
      <x:c r="F122" s="11" t="str">
        <x:v>Unity runtime export</x:v>
      </x:c>
      <x:c r="G122" s="20" t="d">
        <x:v>2026-10-17T20:54:48.815Z</x:v>
      </x:c>
    </x:row>
    <x:row r="123" ht="28" customHeight="1">
      <x:c r="A123" s="10" t="str">
        <x:v>module.tracking</x:v>
      </x:c>
      <x:c r="B123" s="10" t="str">
        <x:v>Быстрое наведение</x:v>
      </x:c>
      <x:c r="C123" s="10" t="str">
        <x:v>Modifier 0 stat 5</x:v>
      </x:c>
      <x:c r="D123" s="10" t="n">
        <x:v>0.08</x:v>
      </x:c>
      <x:c r="E123" s="10" t="str">
        <x:v>op 0</x:v>
      </x:c>
      <x:c r="F123" s="10" t="str">
        <x:v>Unity runtime export</x:v>
      </x:c>
      <x:c r="G123" s="21" t="d">
        <x:v>2026-10-17T20:54:48.815Z</x:v>
      </x:c>
    </x:row>
    <x:row r="124" ht="28" customHeight="1">
      <x:c r="A124" s="11" t="str">
        <x:v>module.rail</x:v>
      </x:c>
      <x:c r="B124" s="11" t="str">
        <x:v>Направляющая</x:v>
      </x:c>
      <x:c r="C124" s="11" t="str">
        <x:v>Cost</x:v>
      </x:c>
      <x:c r="D124" s="11" t="n">
        <x:v>14</x:v>
      </x:c>
      <x:c r="E124" s="11" t="str"/>
      <x:c r="F124" s="11" t="str">
        <x:v>Unity runtime export</x:v>
      </x:c>
      <x:c r="G124" s="20" t="d">
        <x:v>2026-10-17T20:54:48.815Z</x:v>
      </x:c>
    </x:row>
    <x:row r="125" ht="28" customHeight="1">
      <x:c r="A125" s="10" t="str">
        <x:v>module.rail</x:v>
      </x:c>
      <x:c r="B125" s="10" t="str">
        <x:v>Направляющая</x:v>
      </x:c>
      <x:c r="C125" s="10" t="str">
        <x:v>Load</x:v>
      </x:c>
      <x:c r="D125" s="10" t="n">
        <x:v>2</x:v>
      </x:c>
      <x:c r="E125" s="10" t="str"/>
      <x:c r="F125" s="10" t="str">
        <x:v>Unity runtime export</x:v>
      </x:c>
      <x:c r="G125" s="21" t="d">
        <x:v>2026-10-17T20:54:48.815Z</x:v>
      </x:c>
    </x:row>
    <x:row r="126" ht="28" customHeight="1">
      <x:c r="A126" s="11" t="str">
        <x:v>module.rail</x:v>
      </x:c>
      <x:c r="B126" s="11" t="str">
        <x:v>Направляющая</x:v>
      </x:c>
      <x:c r="C126" s="11" t="str">
        <x:v>UnlockGold</x:v>
      </x:c>
      <x:c r="D126" s="11" t="n">
        <x:v>60</x:v>
      </x:c>
      <x:c r="E126" s="11" t="str"/>
      <x:c r="F126" s="11" t="str">
        <x:v>Unity runtime export</x:v>
      </x:c>
      <x:c r="G126" s="20" t="d">
        <x:v>2026-10-17T20:54:48.815Z</x:v>
      </x:c>
    </x:row>
    <x:row r="127" ht="28" customHeight="1">
      <x:c r="A127" s="10" t="str">
        <x:v>module.rail</x:v>
      </x:c>
      <x:c r="B127" s="10" t="str">
        <x:v>Направляющая</x:v>
      </x:c>
      <x:c r="C127" s="10" t="str">
        <x:v>Modifier 0 stat 2</x:v>
      </x:c>
      <x:c r="D127" s="10" t="n">
        <x:v>1.25</x:v>
      </x:c>
      <x:c r="E127" s="10" t="str">
        <x:v>op 2</x:v>
      </x:c>
      <x:c r="F127" s="10" t="str">
        <x:v>Unity runtime export</x:v>
      </x:c>
      <x:c r="G127" s="21" t="d">
        <x:v>2026-10-17T20:54:48.815Z</x:v>
      </x:c>
    </x:row>
    <x:row r="128" ht="28" customHeight="1">
      <x:c r="A128" s="11" t="str">
        <x:v>module.rail</x:v>
      </x:c>
      <x:c r="B128" s="11" t="str">
        <x:v>Направляющая</x:v>
      </x:c>
      <x:c r="C128" s="11" t="str">
        <x:v>Modifier 1 stat 3</x:v>
      </x:c>
      <x:c r="D128" s="11" t="n">
        <x:v>1.1</x:v>
      </x:c>
      <x:c r="E128" s="11" t="str">
        <x:v>op 2</x:v>
      </x:c>
      <x:c r="F128" s="11" t="str">
        <x:v>Unity runtime export</x:v>
      </x:c>
      <x:c r="G128" s="20" t="d">
        <x:v>2026-10-17T20:54:48.815Z</x:v>
      </x:c>
    </x:row>
    <x:row r="129" ht="28" customHeight="1">
      <x:c r="A129" s="10" t="str">
        <x:v>StructureKind.0</x:v>
      </x:c>
      <x:c r="B129" s="10" t="str">
        <x:v>Существующее сооружение</x:v>
      </x:c>
      <x:c r="C129" s="10" t="str">
        <x:v>Cost</x:v>
      </x:c>
      <x:c r="D129" s="10" t="n">
        <x:v>16</x:v>
      </x:c>
      <x:c r="E129" s="10" t="str"/>
      <x:c r="F129" s="10" t="str">
        <x:v>Unity runtime export</x:v>
      </x:c>
      <x:c r="G129" s="21" t="d">
        <x:v>2026-10-17T20:54:48.815Z</x:v>
      </x:c>
    </x:row>
    <x:row r="130" ht="28" customHeight="1">
      <x:c r="A130" s="11" t="str">
        <x:v>StructureKind.0</x:v>
      </x:c>
      <x:c r="B130" s="11" t="str">
        <x:v>Существующее сооружение</x:v>
      </x:c>
      <x:c r="C130" s="11" t="str">
        <x:v>MaxHealth</x:v>
      </x:c>
      <x:c r="D130" s="11" t="n">
        <x:v>200</x:v>
      </x:c>
      <x:c r="E130" s="11" t="str"/>
      <x:c r="F130" s="11" t="str">
        <x:v>Unity runtime export</x:v>
      </x:c>
      <x:c r="G130" s="20" t="d">
        <x:v>2026-10-17T20:54:48.815Z</x:v>
      </x:c>
    </x:row>
    <x:row r="131" ht="28" customHeight="1">
      <x:c r="A131" s="10" t="str">
        <x:v>StructureKind.0</x:v>
      </x:c>
      <x:c r="B131" s="10" t="str">
        <x:v>Существующее сооружение</x:v>
      </x:c>
      <x:c r="C131" s="10" t="str">
        <x:v>Radius</x:v>
      </x:c>
      <x:c r="D131" s="10" t="n">
        <x:v>0.1</x:v>
      </x:c>
      <x:c r="E131" s="10" t="str"/>
      <x:c r="F131" s="10" t="str">
        <x:v>Unity runtime export</x:v>
      </x:c>
      <x:c r="G131" s="21" t="d">
        <x:v>2026-10-17T20:54:48.815Z</x:v>
      </x:c>
    </x:row>
    <x:row r="132" ht="28" customHeight="1">
      <x:c r="A132" s="11" t="str">
        <x:v>StructureKind.0</x:v>
      </x:c>
      <x:c r="B132" s="11" t="str">
        <x:v>Существующее сооружение</x:v>
      </x:c>
      <x:c r="C132" s="11" t="str">
        <x:v>Range</x:v>
      </x:c>
      <x:c r="D132" s="11" t="n">
        <x:v>0</x:v>
      </x:c>
      <x:c r="E132" s="11" t="str"/>
      <x:c r="F132" s="11" t="str">
        <x:v>Unity runtime export</x:v>
      </x:c>
      <x:c r="G132" s="20" t="d">
        <x:v>2026-10-17T20:54:48.815Z</x:v>
      </x:c>
    </x:row>
    <x:row r="133" ht="28" customHeight="1">
      <x:c r="A133" s="10" t="str">
        <x:v>StructureKind.0</x:v>
      </x:c>
      <x:c r="B133" s="10" t="str">
        <x:v>Существующее сооружение</x:v>
      </x:c>
      <x:c r="C133" s="10" t="str">
        <x:v>SlowSpeedMultiplier</x:v>
      </x:c>
      <x:c r="D133" s="10" t="n">
        <x:v>1</x:v>
      </x:c>
      <x:c r="E133" s="10" t="str"/>
      <x:c r="F133" s="10" t="str">
        <x:v>Unity runtime export</x:v>
      </x:c>
      <x:c r="G133" s="21" t="d">
        <x:v>2026-10-17T20:54:48.815Z</x:v>
      </x:c>
    </x:row>
    <x:row r="134" ht="28" customHeight="1">
      <x:c r="A134" s="11" t="str">
        <x:v>StructureKind.0</x:v>
      </x:c>
      <x:c r="B134" s="11" t="str">
        <x:v>Существующее сооружение</x:v>
      </x:c>
      <x:c r="C134" s="11" t="str">
        <x:v>RepairPerSecond</x:v>
      </x:c>
      <x:c r="D134" s="11" t="n">
        <x:v>0</x:v>
      </x:c>
      <x:c r="E134" s="11" t="str"/>
      <x:c r="F134" s="11" t="str">
        <x:v>Unity runtime export</x:v>
      </x:c>
      <x:c r="G134" s="20" t="d">
        <x:v>2026-10-17T20:54:48.815Z</x:v>
      </x:c>
    </x:row>
    <x:row r="135" ht="28" customHeight="1">
      <x:c r="A135" s="10" t="str">
        <x:v>StructureKind.9</x:v>
      </x:c>
      <x:c r="B135" s="10" t="str">
        <x:v>Существующее сооружение</x:v>
      </x:c>
      <x:c r="C135" s="10" t="str">
        <x:v>Cost</x:v>
      </x:c>
      <x:c r="D135" s="10" t="n">
        <x:v>22</x:v>
      </x:c>
      <x:c r="E135" s="10" t="str"/>
      <x:c r="F135" s="10" t="str">
        <x:v>Unity runtime export</x:v>
      </x:c>
      <x:c r="G135" s="21" t="d">
        <x:v>2026-10-17T20:54:48.815Z</x:v>
      </x:c>
    </x:row>
    <x:row r="136" ht="28" customHeight="1">
      <x:c r="A136" s="11" t="str">
        <x:v>StructureKind.9</x:v>
      </x:c>
      <x:c r="B136" s="11" t="str">
        <x:v>Существующее сооружение</x:v>
      </x:c>
      <x:c r="C136" s="11" t="str">
        <x:v>MaxHealth</x:v>
      </x:c>
      <x:c r="D136" s="11" t="n">
        <x:v>55</x:v>
      </x:c>
      <x:c r="E136" s="11" t="str"/>
      <x:c r="F136" s="11" t="str">
        <x:v>Unity runtime export</x:v>
      </x:c>
      <x:c r="G136" s="20" t="d">
        <x:v>2026-10-17T20:54:48.815Z</x:v>
      </x:c>
    </x:row>
    <x:row r="137" ht="28" customHeight="1">
      <x:c r="A137" s="10" t="str">
        <x:v>StructureKind.9</x:v>
      </x:c>
      <x:c r="B137" s="10" t="str">
        <x:v>Существующее сооружение</x:v>
      </x:c>
      <x:c r="C137" s="10" t="str">
        <x:v>Radius</x:v>
      </x:c>
      <x:c r="D137" s="10" t="n">
        <x:v>1</x:v>
      </x:c>
      <x:c r="E137" s="10" t="str"/>
      <x:c r="F137" s="10" t="str">
        <x:v>Unity runtime export</x:v>
      </x:c>
      <x:c r="G137" s="21" t="d">
        <x:v>2026-10-17T20:54:48.815Z</x:v>
      </x:c>
    </x:row>
    <x:row r="138" ht="28" customHeight="1">
      <x:c r="A138" s="11" t="str">
        <x:v>StructureKind.9</x:v>
      </x:c>
      <x:c r="B138" s="11" t="str">
        <x:v>Существующее сооружение</x:v>
      </x:c>
      <x:c r="C138" s="11" t="str">
        <x:v>Range</x:v>
      </x:c>
      <x:c r="D138" s="11" t="n">
        <x:v>0</x:v>
      </x:c>
      <x:c r="E138" s="11" t="str"/>
      <x:c r="F138" s="11" t="str">
        <x:v>Unity runtime export</x:v>
      </x:c>
      <x:c r="G138" s="20" t="d">
        <x:v>2026-10-17T20:54:48.815Z</x:v>
      </x:c>
    </x:row>
    <x:row r="139" ht="28" customHeight="1">
      <x:c r="A139" s="10" t="str">
        <x:v>StructureKind.9</x:v>
      </x:c>
      <x:c r="B139" s="10" t="str">
        <x:v>Существующее сооружение</x:v>
      </x:c>
      <x:c r="C139" s="10" t="str">
        <x:v>SlowSpeedMultiplier</x:v>
      </x:c>
      <x:c r="D139" s="10" t="n">
        <x:v>0.6</x:v>
      </x:c>
      <x:c r="E139" s="10" t="str"/>
      <x:c r="F139" s="10" t="str">
        <x:v>Unity runtime export</x:v>
      </x:c>
      <x:c r="G139" s="21" t="d">
        <x:v>2026-10-17T20:54:48.815Z</x:v>
      </x:c>
    </x:row>
    <x:row r="140" ht="28" customHeight="1">
      <x:c r="A140" s="11" t="str">
        <x:v>StructureKind.9</x:v>
      </x:c>
      <x:c r="B140" s="11" t="str">
        <x:v>Существующее сооружение</x:v>
      </x:c>
      <x:c r="C140" s="11" t="str">
        <x:v>RepairPerSecond</x:v>
      </x:c>
      <x:c r="D140" s="11" t="n">
        <x:v>0</x:v>
      </x:c>
      <x:c r="E140" s="11" t="str"/>
      <x:c r="F140" s="11" t="str">
        <x:v>Unity runtime export</x:v>
      </x:c>
      <x:c r="G140" s="20" t="d">
        <x:v>2026-10-17T20:54:48.815Z</x:v>
      </x:c>
    </x:row>
    <x:row r="141" ht="28" customHeight="1">
      <x:c r="A141" s="10" t="str">
        <x:v>StructureKind.10</x:v>
      </x:c>
      <x:c r="B141" s="10" t="str">
        <x:v>Существующее сооружение</x:v>
      </x:c>
      <x:c r="C141" s="10" t="str">
        <x:v>Cost</x:v>
      </x:c>
      <x:c r="D141" s="10" t="n">
        <x:v>65</x:v>
      </x:c>
      <x:c r="E141" s="10" t="str"/>
      <x:c r="F141" s="10" t="str">
        <x:v>Unity runtime export</x:v>
      </x:c>
      <x:c r="G141" s="21" t="d">
        <x:v>2026-10-17T20:54:48.815Z</x:v>
      </x:c>
    </x:row>
    <x:row r="142" ht="28" customHeight="1">
      <x:c r="A142" s="11" t="str">
        <x:v>StructureKind.10</x:v>
      </x:c>
      <x:c r="B142" s="11" t="str">
        <x:v>Существующее сооружение</x:v>
      </x:c>
      <x:c r="C142" s="11" t="str">
        <x:v>MaxHealth</x:v>
      </x:c>
      <x:c r="D142" s="11" t="n">
        <x:v>70</x:v>
      </x:c>
      <x:c r="E142" s="11" t="str"/>
      <x:c r="F142" s="11" t="str">
        <x:v>Unity runtime export</x:v>
      </x:c>
      <x:c r="G142" s="20" t="d">
        <x:v>2026-10-17T20:54:48.815Z</x:v>
      </x:c>
    </x:row>
    <x:row r="143" ht="28" customHeight="1">
      <x:c r="A143" s="10" t="str">
        <x:v>StructureKind.10</x:v>
      </x:c>
      <x:c r="B143" s="10" t="str">
        <x:v>Существующее сооружение</x:v>
      </x:c>
      <x:c r="C143" s="10" t="str">
        <x:v>Radius</x:v>
      </x:c>
      <x:c r="D143" s="10" t="n">
        <x:v>0</x:v>
      </x:c>
      <x:c r="E143" s="10" t="str"/>
      <x:c r="F143" s="10" t="str">
        <x:v>Unity runtime export</x:v>
      </x:c>
      <x:c r="G143" s="21" t="d">
        <x:v>2026-10-17T20:54:48.815Z</x:v>
      </x:c>
    </x:row>
    <x:row r="144" ht="28" customHeight="1">
      <x:c r="A144" s="11" t="str">
        <x:v>StructureKind.10</x:v>
      </x:c>
      <x:c r="B144" s="11" t="str">
        <x:v>Существующее сооружение</x:v>
      </x:c>
      <x:c r="C144" s="11" t="str">
        <x:v>Range</x:v>
      </x:c>
      <x:c r="D144" s="11" t="n">
        <x:v>5</x:v>
      </x:c>
      <x:c r="E144" s="11" t="str"/>
      <x:c r="F144" s="11" t="str">
        <x:v>Unity runtime export</x:v>
      </x:c>
      <x:c r="G144" s="20" t="d">
        <x:v>2026-10-17T20:54:48.815Z</x:v>
      </x:c>
    </x:row>
    <x:row r="145" ht="28" customHeight="1">
      <x:c r="A145" s="10" t="str">
        <x:v>StructureKind.10</x:v>
      </x:c>
      <x:c r="B145" s="10" t="str">
        <x:v>Существующее сооружение</x:v>
      </x:c>
      <x:c r="C145" s="10" t="str">
        <x:v>SlowSpeedMultiplier</x:v>
      </x:c>
      <x:c r="D145" s="10" t="n">
        <x:v>1</x:v>
      </x:c>
      <x:c r="E145" s="10" t="str"/>
      <x:c r="F145" s="10" t="str">
        <x:v>Unity runtime export</x:v>
      </x:c>
      <x:c r="G145" s="21" t="d">
        <x:v>2026-10-17T20:54:48.815Z</x:v>
      </x:c>
    </x:row>
    <x:row r="146" ht="28" customHeight="1">
      <x:c r="A146" s="11" t="str">
        <x:v>StructureKind.10</x:v>
      </x:c>
      <x:c r="B146" s="11" t="str">
        <x:v>Существующее сооружение</x:v>
      </x:c>
      <x:c r="C146" s="11" t="str">
        <x:v>RepairPerSecond</x:v>
      </x:c>
      <x:c r="D146" s="11" t="n">
        <x:v>6</x:v>
      </x:c>
      <x:c r="E146" s="11" t="str"/>
      <x:c r="F146" s="11" t="str">
        <x:v>Unity runtime export</x:v>
      </x:c>
      <x:c r="G146" s="20" t="d">
        <x:v>2026-10-17T20:54:48.815Z</x:v>
      </x:c>
    </x:row>
    <x:row r="147" ht="28" customHeight="1">
      <x:c r="A147" s="10" t="str">
        <x:v>material.0</x:v>
      </x:c>
      <x:c r="B147" s="10" t="str">
        <x:v>Карандаш</x:v>
      </x:c>
      <x:c r="C147" s="10" t="str">
        <x:v>CostMultiplier</x:v>
      </x:c>
      <x:c r="D147" s="10" t="n">
        <x:v>1</x:v>
      </x:c>
      <x:c r="E147" s="10" t="str"/>
      <x:c r="F147" s="10" t="str">
        <x:v>Unity runtime export</x:v>
      </x:c>
      <x:c r="G147" s="21" t="d">
        <x:v>2026-10-17T20:54:48.815Z</x:v>
      </x:c>
    </x:row>
    <x:row r="148" ht="28" customHeight="1">
      <x:c r="A148" s="11" t="str">
        <x:v>material.0</x:v>
      </x:c>
      <x:c r="B148" s="11" t="str">
        <x:v>Карандаш</x:v>
      </x:c>
      <x:c r="C148" s="11" t="str">
        <x:v>HealthMultiplier</x:v>
      </x:c>
      <x:c r="D148" s="11" t="n">
        <x:v>1</x:v>
      </x:c>
      <x:c r="E148" s="11" t="str"/>
      <x:c r="F148" s="11" t="str">
        <x:v>Unity runtime export</x:v>
      </x:c>
      <x:c r="G148" s="20" t="d">
        <x:v>2026-10-17T20:54:48.815Z</x:v>
      </x:c>
    </x:row>
    <x:row r="149" ht="28" customHeight="1">
      <x:c r="A149" s="10" t="str">
        <x:v>material.0</x:v>
      </x:c>
      <x:c r="B149" s="10" t="str">
        <x:v>Карандаш</x:v>
      </x:c>
      <x:c r="C149" s="10" t="str">
        <x:v>DamageMultiplier</x:v>
      </x:c>
      <x:c r="D149" s="10" t="n">
        <x:v>1</x:v>
      </x:c>
      <x:c r="E149" s="10" t="str"/>
      <x:c r="F149" s="10" t="str">
        <x:v>Unity runtime export</x:v>
      </x:c>
      <x:c r="G149" s="21" t="d">
        <x:v>2026-10-17T20:54:48.815Z</x:v>
      </x:c>
    </x:row>
    <x:row r="150" ht="28" customHeight="1">
      <x:c r="A150" s="11" t="str">
        <x:v>material.0</x:v>
      </x:c>
      <x:c r="B150" s="11" t="str">
        <x:v>Карандаш</x:v>
      </x:c>
      <x:c r="C150" s="11" t="str">
        <x:v>RefundFraction</x:v>
      </x:c>
      <x:c r="D150" s="11" t="n">
        <x:v>0.8</x:v>
      </x:c>
      <x:c r="E150" s="11" t="str"/>
      <x:c r="F150" s="11" t="str">
        <x:v>Unity runtime export</x:v>
      </x:c>
      <x:c r="G150" s="20" t="d">
        <x:v>2026-10-17T20:54:48.815Z</x:v>
      </x:c>
    </x:row>
    <x:row r="151" ht="28" customHeight="1">
      <x:c r="A151" s="10" t="str">
        <x:v>material.0</x:v>
      </x:c>
      <x:c r="B151" s="10" t="str">
        <x:v>Карандаш</x:v>
      </x:c>
      <x:c r="C151" s="10" t="str">
        <x:v>BuildTimeMultiplier</x:v>
      </x:c>
      <x:c r="D151" s="10" t="n">
        <x:v>1</x:v>
      </x:c>
      <x:c r="E151" s="10" t="str"/>
      <x:c r="F151" s="10" t="str">
        <x:v>Unity runtime export</x:v>
      </x:c>
      <x:c r="G151" s="21" t="d">
        <x:v>2026-10-17T20:54:48.815Z</x:v>
      </x:c>
    </x:row>
    <x:row r="152" ht="28" customHeight="1">
      <x:c r="A152" s="11" t="str">
        <x:v>material.1</x:v>
      </x:c>
      <x:c r="B152" s="11" t="str">
        <x:v>Ручка</x:v>
      </x:c>
      <x:c r="C152" s="11" t="str">
        <x:v>CostMultiplier</x:v>
      </x:c>
      <x:c r="D152" s="11" t="n">
        <x:v>1.8</x:v>
      </x:c>
      <x:c r="E152" s="11" t="str"/>
      <x:c r="F152" s="11" t="str">
        <x:v>Unity runtime export</x:v>
      </x:c>
      <x:c r="G152" s="20" t="d">
        <x:v>2026-10-17T20:54:48.815Z</x:v>
      </x:c>
    </x:row>
    <x:row r="153" ht="28" customHeight="1">
      <x:c r="A153" s="10" t="str">
        <x:v>material.1</x:v>
      </x:c>
      <x:c r="B153" s="10" t="str">
        <x:v>Ручка</x:v>
      </x:c>
      <x:c r="C153" s="10" t="str">
        <x:v>HealthMultiplier</x:v>
      </x:c>
      <x:c r="D153" s="10" t="n">
        <x:v>2.1</x:v>
      </x:c>
      <x:c r="E153" s="10" t="str"/>
      <x:c r="F153" s="10" t="str">
        <x:v>Unity runtime export</x:v>
      </x:c>
      <x:c r="G153" s="21" t="d">
        <x:v>2026-10-17T20:54:48.815Z</x:v>
      </x:c>
    </x:row>
    <x:row r="154" ht="28" customHeight="1">
      <x:c r="A154" s="11" t="str">
        <x:v>material.1</x:v>
      </x:c>
      <x:c r="B154" s="11" t="str">
        <x:v>Ручка</x:v>
      </x:c>
      <x:c r="C154" s="11" t="str">
        <x:v>DamageMultiplier</x:v>
      </x:c>
      <x:c r="D154" s="11" t="n">
        <x:v>1</x:v>
      </x:c>
      <x:c r="E154" s="11" t="str"/>
      <x:c r="F154" s="11" t="str">
        <x:v>Unity runtime export</x:v>
      </x:c>
      <x:c r="G154" s="20" t="d">
        <x:v>2026-10-17T20:54:48.815Z</x:v>
      </x:c>
    </x:row>
    <x:row r="155" ht="28" customHeight="1">
      <x:c r="A155" s="10" t="str">
        <x:v>material.1</x:v>
      </x:c>
      <x:c r="B155" s="10" t="str">
        <x:v>Ручка</x:v>
      </x:c>
      <x:c r="C155" s="10" t="str">
        <x:v>RefundFraction</x:v>
      </x:c>
      <x:c r="D155" s="10" t="n">
        <x:v>0.4</x:v>
      </x:c>
      <x:c r="E155" s="10" t="str"/>
      <x:c r="F155" s="10" t="str">
        <x:v>Unity runtime export</x:v>
      </x:c>
      <x:c r="G155" s="21" t="d">
        <x:v>2026-10-17T20:54:48.815Z</x:v>
      </x:c>
    </x:row>
    <x:row r="156" ht="28" customHeight="1">
      <x:c r="A156" s="11" t="str">
        <x:v>material.1</x:v>
      </x:c>
      <x:c r="B156" s="11" t="str">
        <x:v>Ручка</x:v>
      </x:c>
      <x:c r="C156" s="11" t="str">
        <x:v>BuildTimeMultiplier</x:v>
      </x:c>
      <x:c r="D156" s="11" t="n">
        <x:v>1.3</x:v>
      </x:c>
      <x:c r="E156" s="11" t="str"/>
      <x:c r="F156" s="11" t="str">
        <x:v>Unity runtime export</x:v>
      </x:c>
      <x:c r="G156" s="20" t="d">
        <x:v>2026-10-17T20:54:48.815Z</x:v>
      </x:c>
    </x:row>
    <x:row r="157" ht="28" customHeight="1">
      <x:c r="A157" s="10" t="str">
        <x:v>material.2</x:v>
      </x:c>
      <x:c r="B157" s="10" t="str">
        <x:v>Маркер</x:v>
      </x:c>
      <x:c r="C157" s="10" t="str">
        <x:v>CostMultiplier</x:v>
      </x:c>
      <x:c r="D157" s="10" t="n">
        <x:v>3.2</x:v>
      </x:c>
      <x:c r="E157" s="10" t="str"/>
      <x:c r="F157" s="10" t="str">
        <x:v>Unity runtime export</x:v>
      </x:c>
      <x:c r="G157" s="21" t="d">
        <x:v>2026-10-17T20:54:48.815Z</x:v>
      </x:c>
    </x:row>
    <x:row r="158" ht="28" customHeight="1">
      <x:c r="A158" s="11" t="str">
        <x:v>material.2</x:v>
      </x:c>
      <x:c r="B158" s="11" t="str">
        <x:v>Маркер</x:v>
      </x:c>
      <x:c r="C158" s="11" t="str">
        <x:v>HealthMultiplier</x:v>
      </x:c>
      <x:c r="D158" s="11" t="n">
        <x:v>4.2</x:v>
      </x:c>
      <x:c r="E158" s="11" t="str"/>
      <x:c r="F158" s="11" t="str">
        <x:v>Unity runtime export</x:v>
      </x:c>
      <x:c r="G158" s="20" t="d">
        <x:v>2026-10-17T20:54:48.815Z</x:v>
      </x:c>
    </x:row>
    <x:row r="159" ht="28" customHeight="1">
      <x:c r="A159" s="10" t="str">
        <x:v>material.2</x:v>
      </x:c>
      <x:c r="B159" s="10" t="str">
        <x:v>Маркер</x:v>
      </x:c>
      <x:c r="C159" s="10" t="str">
        <x:v>DamageMultiplier</x:v>
      </x:c>
      <x:c r="D159" s="10" t="n">
        <x:v>1</x:v>
      </x:c>
      <x:c r="E159" s="10" t="str"/>
      <x:c r="F159" s="10" t="str">
        <x:v>Unity runtime export</x:v>
      </x:c>
      <x:c r="G159" s="21" t="d">
        <x:v>2026-10-17T20:54:48.815Z</x:v>
      </x:c>
    </x:row>
    <x:row r="160" ht="28" customHeight="1">
      <x:c r="A160" s="11" t="str">
        <x:v>material.2</x:v>
      </x:c>
      <x:c r="B160" s="11" t="str">
        <x:v>Маркер</x:v>
      </x:c>
      <x:c r="C160" s="11" t="str">
        <x:v>RefundFraction</x:v>
      </x:c>
      <x:c r="D160" s="11" t="n">
        <x:v>0.2</x:v>
      </x:c>
      <x:c r="E160" s="11" t="str"/>
      <x:c r="F160" s="11" t="str">
        <x:v>Unity runtime export</x:v>
      </x:c>
      <x:c r="G160" s="20" t="d">
        <x:v>2026-10-17T20:54:48.815Z</x:v>
      </x:c>
    </x:row>
    <x:row r="161" ht="28" customHeight="1">
      <x:c r="A161" s="10" t="str">
        <x:v>material.2</x:v>
      </x:c>
      <x:c r="B161" s="10" t="str">
        <x:v>Маркер</x:v>
      </x:c>
      <x:c r="C161" s="10" t="str">
        <x:v>BuildTimeMultiplier</x:v>
      </x:c>
      <x:c r="D161" s="10" t="n">
        <x:v>1.75</x:v>
      </x:c>
      <x:c r="E161" s="10" t="str"/>
      <x:c r="F161" s="10" t="str">
        <x:v>Unity runtime export</x:v>
      </x:c>
      <x:c r="G161" s="21" t="d">
        <x:v>2026-10-17T20:54:48.815Z</x:v>
      </x:c>
    </x:row>
    <x:row r="162" ht="28" customHeight="1">
      <x:c r="A162" s="11" t="str">
        <x:v>rules</x:v>
      </x:c>
      <x:c r="B162" s="11" t="str">
        <x:v>Основная игра</x:v>
      </x:c>
      <x:c r="C162" s="11" t="str">
        <x:v>Slots</x:v>
      </x:c>
      <x:c r="D162" s="11" t="n">
        <x:v>4</x:v>
      </x:c>
      <x:c r="E162" s="11" t="str"/>
      <x:c r="F162" s="11" t="str">
        <x:v>Unity runtime export</x:v>
      </x:c>
      <x:c r="G162" s="20" t="d">
        <x:v>2026-10-17T20:54:48.815Z</x:v>
      </x:c>
    </x:row>
    <x:row r="163" ht="28" customHeight="1">
      <x:c r="A163" s="10" t="str">
        <x:v>rules</x:v>
      </x:c>
      <x:c r="B163" s="10" t="str">
        <x:v>Основная игра</x:v>
      </x:c>
      <x:c r="C163" s="10" t="str">
        <x:v>ProfileVersion</x:v>
      </x:c>
      <x:c r="D163" s="10" t="n">
        <x:v>7</x:v>
      </x:c>
      <x:c r="E163" s="10" t="str"/>
      <x:c r="F163" s="10" t="str">
        <x:v>Unity runtime export</x:v>
      </x:c>
      <x:c r="G163" s="21" t="d">
        <x:v>2026-10-17T20:54:48.815Z</x:v>
      </x:c>
    </x:row>
    <x:row r="164" ht="28" customHeight="1">
      <x:c r="A164" s="11" t="str">
        <x:v>rules</x:v>
      </x:c>
      <x:c r="B164" s="11" t="str">
        <x:v>Основная игра</x:v>
      </x:c>
      <x:c r="C164" s="11" t="str">
        <x:v>StartingInk</x:v>
      </x:c>
      <x:c r="D164" s="11" t="n">
        <x:v>640</x:v>
      </x:c>
      <x:c r="E164" s="11" t="str"/>
      <x:c r="F164" s="11" t="str">
        <x:v>Unity runtime export</x:v>
      </x:c>
      <x:c r="G164" s="20" t="d">
        <x:v>2026-10-17T20:54:48.815Z</x:v>
      </x:c>
    </x:row>
    <x:row r="165" ht="28" customHeight="1">
      <x:c r="A165" s="10" t="str">
        <x:v>rules</x:v>
      </x:c>
      <x:c r="B165" s="10" t="str">
        <x:v>Основная игра</x:v>
      </x:c>
      <x:c r="C165" s="10" t="str">
        <x:v>WaveGold</x:v>
      </x:c>
      <x:c r="D165" s="10" t="n">
        <x:v>8</x:v>
      </x:c>
      <x:c r="E165" s="10" t="str"/>
      <x:c r="F165" s="10" t="str">
        <x:v>Unity runtime export</x:v>
      </x:c>
      <x:c r="G165" s="21" t="d">
        <x:v>2026-10-17T20:54:48.815Z</x:v>
      </x:c>
    </x:row>
    <x:row r="166" ht="28" customHeight="1">
      <x:c r="A166" s="11" t="str">
        <x:v>rules</x:v>
      </x:c>
      <x:c r="B166" s="11" t="str">
        <x:v>Основная игра</x:v>
      </x:c>
      <x:c r="C166" s="11" t="str">
        <x:v>VictoryGold</x:v>
      </x:c>
      <x:c r="D166" s="11" t="n">
        <x:v>30</x:v>
      </x:c>
      <x:c r="E166" s="11" t="str"/>
      <x:c r="F166" s="11" t="str">
        <x:v>Unity runtime export</x:v>
      </x:c>
      <x:c r="G166" s="20" t="d">
        <x:v>2026-10-17T20:54:48.815Z</x:v>
      </x:c>
    </x:row>
    <x:row r="167" ht="28" customHeight="1">
      <x:c r="A167" s="10" t="str">
        <x:v>rules</x:v>
      </x:c>
      <x:c r="B167" s="10" t="str">
        <x:v>Основная игра</x:v>
      </x:c>
      <x:c r="C167" s="10" t="str">
        <x:v>WaveInkGrant</x:v>
      </x:c>
      <x:c r="D167" s="10" t="n">
        <x:v>75</x:v>
      </x:c>
      <x:c r="E167" s="10" t="str"/>
      <x:c r="F167" s="10" t="str">
        <x:v>Unity runtime export</x:v>
      </x:c>
      <x:c r="G167" s="21" t="d">
        <x:v>2026-10-17T20:54:48.815Z</x:v>
      </x:c>
    </x:row>
    <x:row r="168" ht="28" customHeight="1">
      <x:c r="A168" s="11" t="str">
        <x:v>rules</x:v>
      </x:c>
      <x:c r="B168" s="11" t="str">
        <x:v>Основная игра</x:v>
      </x:c>
      <x:c r="C168" s="11" t="str">
        <x:v>WellInkPerWave</x:v>
      </x:c>
      <x:c r="D168" s="11" t="n">
        <x:v>12</x:v>
      </x:c>
      <x:c r="E168" s="11" t="str"/>
      <x:c r="F168" s="11" t="str">
        <x:v>Unity runtime export</x:v>
      </x:c>
      <x:c r="G168" s="20" t="d">
        <x:v>2026-10-17T20:54:48.815Z</x:v>
      </x:c>
    </x:row>
  </x:sheetData>
  <x:pageMargins left="0.7" right="0.7" top="0.75" bottom="0.75" header="0.3" footer="0.3"/>
  <x:tableParts count="1">
    <x:tablePart xmlns:r="http://schemas.openxmlformats.org/officeDocument/2006/relationships" r:id="Rc9e567cf47dc4bac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48" hidden="0" customWidth="1"/>
    <x:col min="3" max="3" width="83" hidden="0" customWidth="1"/>
  </x:cols>
  <x:sheetData>
    <x:row r="1">
      <x:c r="A1" s="1"/>
      <x:c r="B1" s="1"/>
      <x:c r="C1" s="1"/>
    </x:row>
    <x:row r="2">
      <x:c r="A2" s="2" t="str">
        <x:v>Правила расчёта и единицы</x:v>
      </x:c>
      <x:c r="B2" s="1"/>
      <x:c r="C2" s="1"/>
    </x:row>
    <x:row r="3">
      <x:c r="A3" s="3" t="str">
        <x:v>Постоянные покупки оплачиваются золотом; постройки во время боя — штрихами.</x:v>
      </x:c>
      <x:c r="B3" s="1"/>
      <x:c r="C3" s="1"/>
    </x:row>
    <x:row r="4">
      <x:c r="A4" s="1"/>
      <x:c r="B4" s="1"/>
      <x:c r="C4" s="1"/>
    </x:row>
    <x:row r="5" ht="46" customHeight="1">
      <x:c r="A5" s="8" t="str">
        <x:v>Параметр</x:v>
      </x:c>
      <x:c r="B5" s="8" t="str">
        <x:v>Значение</x:v>
      </x:c>
      <x:c r="C5" s="8" t="str">
        <x:v>Пояснение</x:v>
      </x:c>
    </x:row>
    <x:row r="6" ht="28" customHeight="1">
      <x:c r="A6" s="11" t="str">
        <x:v>Версия</x:v>
      </x:c>
      <x:c r="B6" s="11" t="str">
        <x:v>album-v1.0</x:v>
      </x:c>
      <x:c r="C6" s="11" t="str">
        <x:v>Проектный баланс, не импортирован в игру</x:v>
      </x:c>
    </x:row>
    <x:row r="7" ht="28" customHeight="1">
      <x:c r="A7" s="10" t="str">
        <x:v>Слоты</x:v>
      </x:c>
      <x:c r="B7" s="13" t="n">
        <x:v>8</x:v>
      </x:c>
      <x:c r="C7" s="10" t="str">
        <x:v>Общие для башен и сооружений</x:v>
      </x:c>
    </x:row>
    <x:row r="8" ht="28" customHeight="1">
      <x:c r="A8" s="11" t="str">
        <x:v>Начальные штрихи</x:v>
      </x:c>
      <x:c r="B8" s="12" t="n">
        <x:v>640</x:v>
      </x:c>
      <x:c r="C8" s="11" t="str">
        <x:v>Текущее значение основной игры</x:v>
      </x:c>
    </x:row>
    <x:row r="9" ht="28" customHeight="1">
      <x:c r="A9" s="10" t="str">
        <x:v>Волн в партии</x:v>
      </x:c>
      <x:c r="B9" s="13" t="n">
        <x:v>8</x:v>
      </x:c>
      <x:c r="C9" s="10" t="str">
        <x:v>Текущая карта</x:v>
      </x:c>
    </x:row>
    <x:row r="10" ht="28" customHeight="1">
      <x:c r="A10" s="11" t="str">
        <x:v>Золото за волну</x:v>
      </x:c>
      <x:c r="B10" s="12" t="n">
        <x:v>8</x:v>
      </x:c>
      <x:c r="C10" s="11" t="str">
        <x:v>Текущее значение</x:v>
      </x:c>
    </x:row>
    <x:row r="11" ht="28" customHeight="1">
      <x:c r="A11" s="10" t="str">
        <x:v>Золото за победу</x:v>
      </x:c>
      <x:c r="B11" s="13" t="n">
        <x:v>30</x:v>
      </x:c>
      <x:c r="C11" s="10" t="str">
        <x:v>Текущее значение</x:v>
      </x:c>
    </x:row>
    <x:row r="12" ht="28" customHeight="1">
      <x:c r="A12" s="11" t="str">
        <x:v>XP за волну</x:v>
      </x:c>
      <x:c r="B12" s="12" t="n">
        <x:v>10</x:v>
      </x:c>
      <x:c r="C12" s="11" t="str">
        <x:v>Новая метапрогрессия</x:v>
      </x:c>
    </x:row>
    <x:row r="13" ht="28" customHeight="1">
      <x:c r="A13" s="10" t="str">
        <x:v>XP за победу</x:v>
      </x:c>
      <x:c r="B13" s="13" t="n">
        <x:v>40</x:v>
      </x:c>
      <x:c r="C13" s="10" t="str">
        <x:v>Новая метапрогрессия</x:v>
      </x:c>
    </x:row>
    <x:row r="14" ht="28" customHeight="1">
      <x:c r="A14" s="11" t="str">
        <x:v>Максимум подачи</x:v>
      </x:c>
      <x:c r="B14" s="11" t="n">
        <x:v>1.25</x:v>
      </x:c>
      <x:c r="C14" s="11" t="str">
        <x:v>Ограничивает каждый действующий ствол</x:v>
      </x:c>
    </x:row>
    <x:row r="15" ht="28" customHeight="1">
      <x:c r="A15" s="10" t="str">
        <x:v>Базовый захват, с</x:v>
      </x:c>
      <x:c r="B15" s="10" t="n">
        <x:v>0.25</x:v>
      </x:c>
      <x:c r="C15" s="10" t="str">
        <x:v>До первого попадания при смене цели</x:v>
      </x:c>
    </x:row>
    <x:row r="16" ht="28" customHeight="1">
      <x:c r="A16" s="11" t="str">
        <x:v>Максимум защиты</x:v>
      </x:c>
      <x:c r="B16" s="11" t="n">
        <x:v>0.6</x:v>
      </x:c>
      <x:c r="C16" s="11" t="str">
        <x:v>С учётом материала и эффектов</x:v>
      </x:c>
    </x:row>
    <x:row r="17" ht="28" customHeight="1">
      <x:c r="A17" s="10" t="str">
        <x:v>Генераторов на поле</x:v>
      </x:c>
      <x:c r="B17" s="13" t="n">
        <x:v>2</x:v>
      </x:c>
      <x:c r="C17" s="10" t="str">
        <x:v>Общий лимит на все варианты</x:v>
      </x:c>
    </x:row>
    <x:row r="18" ht="28" customHeight="1">
      <x:c r="A18" s="11" t="str">
        <x:v>Возврат генератора</x:v>
      </x:c>
      <x:c r="B18" s="12" t="n">
        <x:v>0</x:v>
      </x:c>
      <x:c r="C18" s="11" t="str">
        <x:v>За продажу; исключает доход от перестройки</x:v>
      </x:c>
    </x:row>
    <x:row r="19" ht="28" customHeight="1">
      <x:c r="A19" s="10" t="str">
        <x:v>Стоимость одного рисунка</x:v>
      </x:c>
      <x:c r="B19" s="13" t="n">
        <x:v>0</x:v>
      </x:c>
      <x:c r="C19" s="10" t="str">
        <x:v>Сохранение и копия не расходуют золото</x:v>
      </x:c>
    </x:row>
    <x:row r="20" ht="28" customHeight="1">
      <x:c r="A20" s="11" t="str">
        <x:v>Вместимость альбома</x:v>
      </x:c>
      <x:c r="B20" s="12" t="n">
        <x:v>64</x:v>
      </x:c>
      <x:c r="C20" s="11" t="str">
        <x:v>Пустые боевые слоты допустимы</x:v>
      </x:c>
    </x:row>
    <x:row r="21" ht="28" customHeight="1">
      <x:c r="A21" s="10" t="str">
        <x:v>Нижняя скорость цели</x:v>
      </x:c>
      <x:c r="B21" s="10" t="n">
        <x:v>0.4</x:v>
      </x:c>
      <x:c r="C21" s="10" t="str">
        <x:v>Сильнейший slow; не произведение</x:v>
      </x:c>
    </x:row>
    <x:row r="22" ht="28" customHeight="1">
      <x:c r="A22" s="11" t="str">
        <x:v>Материал: Карандаш</x:v>
      </x:c>
      <x:c r="B22" s="12" t="n">
        <x:v>1</x:v>
      </x:c>
      <x:c r="C22" s="11" t="str">
        <x:v>Цена ×1, HP ×1, урон ×1</x:v>
      </x:c>
    </x:row>
    <x:row r="23" ht="28" customHeight="1">
      <x:c r="A23" s="10" t="str">
        <x:v>Материал: Ручка</x:v>
      </x:c>
      <x:c r="B23" s="10" t="n">
        <x:v>1.8</x:v>
      </x:c>
      <x:c r="C23" s="10" t="str">
        <x:v>HP ×2,1; время ×1,3; урон ×1</x:v>
      </x:c>
    </x:row>
    <x:row r="24" ht="28" customHeight="1">
      <x:c r="A24" s="11" t="str">
        <x:v>Материал: Маркер</x:v>
      </x:c>
      <x:c r="B24" s="11" t="n">
        <x:v>3.2</x:v>
      </x:c>
      <x:c r="C24" s="11" t="str">
        <x:v>HP ×4,2; время ×1,75; урон ×1</x:v>
      </x:c>
    </x:row>
    <x:row r="25" ht="28" customHeight="1">
      <x:c r="A25" s="10" t="str">
        <x:v>Оценка DPS</x:v>
      </x:c>
      <x:c r="B25" s="10" t="str">
        <x:v>Без брони</x:v>
      </x:c>
      <x:c r="C25" s="10" t="str">
        <x:v>Один ствол, непрерывная цель, без эффектов цвета</x:v>
      </x:c>
    </x:row>
    <x:row r="26" ht="28" customHeight="1">
      <x:c r="A26" s="11" t="str">
        <x:v>Цикл обоймы</x:v>
      </x:c>
      <x:c r="B26" s="11" t="str">
        <x:v>(N−1) × интервал + перезарядка</x:v>
      </x:c>
      <x:c r="C26" s="11" t="str">
        <x:v>Последняя пауза заменена перезарядкой; двойного ожидания нет</x:v>
      </x:c>
    </x:row>
    <x:row r="27" ht="28" customHeight="1">
      <x:c r="A27" s="10" t="str">
        <x:v>Цвет</x:v>
      </x:c>
      <x:c r="B27" s="10" t="str">
        <x:v>Существующий бюджет</x:v>
      </x:c>
      <x:c r="C27" s="10" t="str">
        <x:v>Цвет не меняет ID или цену открытия детали</x:v>
      </x:c>
    </x:row>
    <x:row r="28" ht="28" customHeight="1">
      <x:c r="A28" s="11" t="str">
        <x:v>Материал генератора</x:v>
      </x:c>
      <x:c r="B28" s="11" t="str">
        <x:v>Только карандаш</x:v>
      </x:c>
      <x:c r="C28" s="11" t="str">
        <x:v>В v1 ручка и маркер не окупаются за 8 волн; усиление через детали</x:v>
      </x:c>
    </x:row>
  </x:sheetData>
  <x:pageMargins left="0.7" right="0.7" top="0.75" bottom="0.75" header="0.3" footer="0.3"/>
  <x:tableParts count="1">
    <x:tablePart xmlns:r="http://schemas.openxmlformats.org/officeDocument/2006/relationships" r:id="R6886a91a751f428e"/>
  </x:tableParts>
</x:worksheet>
</file>